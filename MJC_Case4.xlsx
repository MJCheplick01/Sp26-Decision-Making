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ner/Documents/UP Courses/Semester2/UP_Derivs/Cases/My Cases/"/>
    </mc:Choice>
  </mc:AlternateContent>
  <xr:revisionPtr revIDLastSave="0" documentId="13_ncr:1_{995EDDDC-5C9E-BC4F-AA8B-A21FA58C6C1C}" xr6:coauthVersionLast="47" xr6:coauthVersionMax="47" xr10:uidLastSave="{00000000-0000-0000-0000-000000000000}"/>
  <bookViews>
    <workbookView xWindow="7340" yWindow="760" windowWidth="22320" windowHeight="17900" activeTab="1" xr2:uid="{BD4F823B-3D47-0048-8A32-73563B89BE7F}"/>
  </bookViews>
  <sheets>
    <sheet name="1 A&amp;B, BSM_Put&amp;Call" sheetId="8" r:id="rId1"/>
    <sheet name="1B) Ameri_Call w Divs RFV" sheetId="1" r:id="rId2"/>
    <sheet name="1C) Euro_$ Option Value BSM" sheetId="3" r:id="rId3"/>
    <sheet name="Implied Volatility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C16" i="1"/>
  <c r="G3" i="1" l="1"/>
  <c r="E2" i="1"/>
  <c r="E7" i="1" s="1"/>
  <c r="E12" i="1"/>
  <c r="E5" i="1" s="1"/>
  <c r="B22" i="1"/>
  <c r="C22" i="1" s="1"/>
  <c r="B2" i="3"/>
  <c r="B4" i="3" s="1"/>
  <c r="I3" i="1"/>
  <c r="H11" i="9"/>
  <c r="E11" i="9"/>
  <c r="E13" i="9" s="1"/>
  <c r="B11" i="9"/>
  <c r="A8" i="8"/>
  <c r="A10" i="8" s="1"/>
  <c r="E18" i="1"/>
  <c r="C21" i="1"/>
  <c r="C20" i="1"/>
  <c r="B16" i="1"/>
  <c r="C4" i="1" s="1"/>
  <c r="B12" i="3"/>
  <c r="E9" i="1" l="1"/>
  <c r="G2" i="1" s="1"/>
  <c r="E3" i="1"/>
  <c r="E8" i="1" s="1"/>
  <c r="A9" i="8"/>
  <c r="A16" i="8" s="1"/>
  <c r="B14" i="3"/>
  <c r="B3" i="3"/>
  <c r="E12" i="9"/>
  <c r="E15" i="9" s="1"/>
  <c r="H12" i="9"/>
  <c r="H14" i="9" s="1"/>
  <c r="H13" i="9"/>
  <c r="B13" i="9"/>
  <c r="B12" i="9"/>
  <c r="B14" i="9" s="1"/>
  <c r="B23" i="1"/>
  <c r="A17" i="8" l="1"/>
  <c r="A14" i="8"/>
  <c r="A13" i="8"/>
  <c r="G4" i="1"/>
  <c r="E11" i="1"/>
  <c r="E10" i="1"/>
  <c r="B15" i="3"/>
  <c r="B16" i="3" s="1"/>
  <c r="B13" i="3"/>
  <c r="A11" i="8"/>
  <c r="B5" i="3"/>
  <c r="E14" i="9"/>
  <c r="H15" i="9"/>
  <c r="B15" i="9"/>
  <c r="F16" i="1"/>
  <c r="E17" i="1" s="1"/>
  <c r="C23" i="1"/>
  <c r="B9" i="1"/>
  <c r="B20" i="1" l="1"/>
  <c r="B18" i="1"/>
  <c r="E4" i="1" s="1"/>
  <c r="B19" i="1"/>
  <c r="B21" i="1"/>
  <c r="E22" i="1" s="1"/>
  <c r="G7" i="1" l="1"/>
  <c r="G6" i="1"/>
  <c r="I7" i="1"/>
  <c r="B26" i="1"/>
  <c r="I2" i="1"/>
  <c r="I4" i="1"/>
  <c r="E16" i="1"/>
  <c r="I6" i="1" s="1"/>
  <c r="I9" i="1" s="1"/>
  <c r="F18" i="1"/>
  <c r="B27" i="1"/>
  <c r="E20" i="1"/>
  <c r="G9" i="1" l="1"/>
  <c r="E24" i="1"/>
  <c r="E25" i="1"/>
  <c r="E29" i="1" l="1"/>
  <c r="B10" i="1" s="1"/>
</calcChain>
</file>

<file path=xl/sharedStrings.xml><?xml version="1.0" encoding="utf-8"?>
<sst xmlns="http://schemas.openxmlformats.org/spreadsheetml/2006/main" count="142" uniqueCount="100">
  <si>
    <t>S0</t>
  </si>
  <si>
    <t>X</t>
  </si>
  <si>
    <t>SD</t>
  </si>
  <si>
    <t>T</t>
  </si>
  <si>
    <t>RF</t>
  </si>
  <si>
    <t>e</t>
  </si>
  <si>
    <t>Co</t>
  </si>
  <si>
    <t>Value of Ameri Call No Divs</t>
  </si>
  <si>
    <t>Face Value</t>
  </si>
  <si>
    <t>Future Value</t>
  </si>
  <si>
    <t>U</t>
  </si>
  <si>
    <t>D</t>
  </si>
  <si>
    <t>Step2: Max(St-x,0)</t>
  </si>
  <si>
    <t>Value Upper</t>
  </si>
  <si>
    <t>Value Lower</t>
  </si>
  <si>
    <t>Step 1:Forecast Price</t>
  </si>
  <si>
    <t>Step3: 'Risk-Neutral' Prob</t>
  </si>
  <si>
    <t>Discount Factor</t>
  </si>
  <si>
    <t>13.26=14.97pu+11.28pu</t>
  </si>
  <si>
    <t>13.26=3.6892pu+11.28pu</t>
  </si>
  <si>
    <t>U minus D</t>
  </si>
  <si>
    <t>PV - D</t>
  </si>
  <si>
    <t>1.98=3.6892pu</t>
  </si>
  <si>
    <t>up factor</t>
  </si>
  <si>
    <t>down factor</t>
  </si>
  <si>
    <t>Upu</t>
  </si>
  <si>
    <t>Dpu</t>
  </si>
  <si>
    <t>Step4: Value of call option today</t>
  </si>
  <si>
    <t>=(Pu*CallUpstate)+(Pu*CallDownState)/e^rf*t</t>
  </si>
  <si>
    <t>e^rf*t</t>
  </si>
  <si>
    <t>ExcelCalc</t>
  </si>
  <si>
    <t>MnlCalc</t>
  </si>
  <si>
    <t xml:space="preserve">FV </t>
  </si>
  <si>
    <t>Stock Price</t>
  </si>
  <si>
    <t>r</t>
  </si>
  <si>
    <t>Vol</t>
  </si>
  <si>
    <t>d1</t>
  </si>
  <si>
    <t>d2</t>
  </si>
  <si>
    <t>First Case</t>
  </si>
  <si>
    <t>Second Case</t>
  </si>
  <si>
    <t>Third Case</t>
  </si>
  <si>
    <t>Undelrying Price</t>
  </si>
  <si>
    <t>Strike Price</t>
  </si>
  <si>
    <t>Volatility</t>
  </si>
  <si>
    <t>Time</t>
  </si>
  <si>
    <t>n(d1)</t>
  </si>
  <si>
    <t>n(d2)</t>
  </si>
  <si>
    <t>Call option price</t>
  </si>
  <si>
    <t>Call</t>
  </si>
  <si>
    <t>Rate</t>
  </si>
  <si>
    <t>Implied Volatility using Goal Seek</t>
  </si>
  <si>
    <t>HV=24%, Call is Fairly Valued</t>
  </si>
  <si>
    <t>HV=24%, Call is Overvalued</t>
  </si>
  <si>
    <t>HV=97%, Call is Undervalued</t>
  </si>
  <si>
    <t>Puu</t>
  </si>
  <si>
    <t>Pud</t>
  </si>
  <si>
    <t>Pdd</t>
  </si>
  <si>
    <t>Expiration(T=.5)</t>
  </si>
  <si>
    <t>Middle Nodes (T=.25)</t>
  </si>
  <si>
    <t>Pu</t>
  </si>
  <si>
    <t>Pd</t>
  </si>
  <si>
    <t>p0</t>
  </si>
  <si>
    <t>Intial Node (T=0)</t>
  </si>
  <si>
    <t>1-p</t>
  </si>
  <si>
    <t>Cuu</t>
  </si>
  <si>
    <t>Cud</t>
  </si>
  <si>
    <t>Cdd</t>
  </si>
  <si>
    <t>***********************************************************************************************</t>
  </si>
  <si>
    <t xml:space="preserve">American Call </t>
  </si>
  <si>
    <t>Expriation(T=.5)</t>
  </si>
  <si>
    <t>Cu</t>
  </si>
  <si>
    <t>Cd</t>
  </si>
  <si>
    <t>American Call Value</t>
  </si>
  <si>
    <t>Euro Put Value</t>
  </si>
  <si>
    <t>d1 Z-Score</t>
  </si>
  <si>
    <t xml:space="preserve">d2 z-score </t>
  </si>
  <si>
    <t>Euro/$ Option Value</t>
  </si>
  <si>
    <t>S0, $/Euro</t>
  </si>
  <si>
    <t>r(US)</t>
  </si>
  <si>
    <t>r(ECB)</t>
  </si>
  <si>
    <t>Value of Euro Put Option, P:</t>
  </si>
  <si>
    <t>Value of American Put Option, C:</t>
  </si>
  <si>
    <t>d1 zscore</t>
  </si>
  <si>
    <t>d2 zscore</t>
  </si>
  <si>
    <t>Dividends</t>
  </si>
  <si>
    <t>Value of American/Euro Option with Divs</t>
  </si>
  <si>
    <t>VALUE WITH DIVS</t>
  </si>
  <si>
    <t>VALUE W/O DIVS</t>
  </si>
  <si>
    <t>Stock Price Tree</t>
  </si>
  <si>
    <t>DF</t>
  </si>
  <si>
    <t>Su</t>
  </si>
  <si>
    <t>Sd</t>
  </si>
  <si>
    <t>Suu</t>
  </si>
  <si>
    <t>Sud</t>
  </si>
  <si>
    <t>Sdd</t>
  </si>
  <si>
    <t>p</t>
  </si>
  <si>
    <t>RNProb</t>
  </si>
  <si>
    <t>Call Value</t>
  </si>
  <si>
    <t>AMERICAN CALL USING BINOMIAL TREE</t>
  </si>
  <si>
    <t>EuroVal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</si>
</sst>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_(* #,##0.0000_);_(* \(#,##0.0000\);_(* &quot;-&quot;??_);_(@_)"/>
    <numFmt numFmtId="165" formatCode="0.0000"/>
    <numFmt numFmtId="166" formatCode="_(* #,##0.0000_);_(* \(#,##0.0000\);_(* &quot;-&quot;??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trike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Helvetica"/>
      <family val="2"/>
    </font>
    <font>
      <i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medium">
        <color theme="1"/>
      </bottom>
      <diagonal/>
    </border>
    <border>
      <left style="thin">
        <color theme="0" tint="-0.249977111117893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8" fontId="0" fillId="0" borderId="0" xfId="0" applyNumberFormat="1"/>
    <xf numFmtId="43" fontId="0" fillId="0" borderId="0" xfId="1" applyFont="1"/>
    <xf numFmtId="43" fontId="0" fillId="0" borderId="0" xfId="0" applyNumberFormat="1"/>
    <xf numFmtId="165" fontId="0" fillId="0" borderId="0" xfId="0" applyNumberFormat="1"/>
    <xf numFmtId="2" fontId="0" fillId="0" borderId="0" xfId="0" applyNumberFormat="1"/>
    <xf numFmtId="165" fontId="0" fillId="0" borderId="1" xfId="0" applyNumberFormat="1" applyBorder="1"/>
    <xf numFmtId="165" fontId="2" fillId="0" borderId="0" xfId="0" applyNumberFormat="1" applyFont="1"/>
    <xf numFmtId="165" fontId="5" fillId="0" borderId="0" xfId="0" applyNumberFormat="1" applyFont="1"/>
    <xf numFmtId="0" fontId="0" fillId="0" borderId="0" xfId="0" quotePrefix="1"/>
    <xf numFmtId="0" fontId="2" fillId="4" borderId="0" xfId="0" applyFont="1" applyFill="1"/>
    <xf numFmtId="0" fontId="3" fillId="0" borderId="0" xfId="0" quotePrefix="1" applyFont="1"/>
    <xf numFmtId="8" fontId="0" fillId="0" borderId="0" xfId="0" quotePrefix="1" applyNumberFormat="1"/>
    <xf numFmtId="0" fontId="2" fillId="3" borderId="2" xfId="0" applyFont="1" applyFill="1" applyBorder="1"/>
    <xf numFmtId="0" fontId="2" fillId="5" borderId="0" xfId="0" applyFont="1" applyFill="1"/>
    <xf numFmtId="0" fontId="2" fillId="5" borderId="2" xfId="0" applyFont="1" applyFill="1" applyBorder="1"/>
    <xf numFmtId="9" fontId="2" fillId="5" borderId="2" xfId="0" applyNumberFormat="1" applyFont="1" applyFill="1" applyBorder="1"/>
    <xf numFmtId="0" fontId="2" fillId="0" borderId="2" xfId="0" applyFont="1" applyBorder="1"/>
    <xf numFmtId="0" fontId="0" fillId="0" borderId="2" xfId="0" applyBorder="1"/>
    <xf numFmtId="9" fontId="0" fillId="0" borderId="2" xfId="0" applyNumberFormat="1" applyBorder="1"/>
    <xf numFmtId="43" fontId="3" fillId="3" borderId="0" xfId="0" applyNumberFormat="1" applyFont="1" applyFill="1"/>
    <xf numFmtId="43" fontId="0" fillId="0" borderId="1" xfId="1" applyFont="1" applyBorder="1"/>
    <xf numFmtId="0" fontId="2" fillId="3" borderId="4" xfId="0" applyFont="1" applyFill="1" applyBorder="1"/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2" xfId="0" applyBorder="1"/>
    <xf numFmtId="0" fontId="0" fillId="0" borderId="11" xfId="0" applyBorder="1"/>
    <xf numFmtId="0" fontId="4" fillId="0" borderId="13" xfId="0" applyFont="1" applyBorder="1"/>
    <xf numFmtId="0" fontId="4" fillId="0" borderId="14" xfId="0" applyFont="1" applyBorder="1"/>
    <xf numFmtId="0" fontId="2" fillId="0" borderId="11" xfId="0" applyFont="1" applyBorder="1"/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right"/>
    </xf>
    <xf numFmtId="0" fontId="3" fillId="0" borderId="0" xfId="0" applyFont="1"/>
    <xf numFmtId="9" fontId="3" fillId="0" borderId="0" xfId="0" applyNumberFormat="1" applyFont="1"/>
    <xf numFmtId="0" fontId="0" fillId="0" borderId="0" xfId="0" applyAlignment="1">
      <alignment horizontal="left" vertical="top"/>
    </xf>
    <xf numFmtId="0" fontId="2" fillId="7" borderId="21" xfId="0" applyFont="1" applyFill="1" applyBorder="1"/>
    <xf numFmtId="0" fontId="2" fillId="7" borderId="22" xfId="0" applyFont="1" applyFill="1" applyBorder="1"/>
    <xf numFmtId="0" fontId="2" fillId="7" borderId="23" xfId="0" applyFont="1" applyFill="1" applyBorder="1"/>
    <xf numFmtId="0" fontId="2" fillId="7" borderId="24" xfId="0" applyFont="1" applyFill="1" applyBorder="1"/>
    <xf numFmtId="165" fontId="0" fillId="0" borderId="0" xfId="0" applyNumberFormat="1" applyAlignment="1">
      <alignment horizontal="left"/>
    </xf>
    <xf numFmtId="165" fontId="0" fillId="0" borderId="25" xfId="0" applyNumberFormat="1" applyBorder="1"/>
    <xf numFmtId="0" fontId="0" fillId="0" borderId="0" xfId="0" applyAlignment="1">
      <alignment horizontal="left"/>
    </xf>
    <xf numFmtId="0" fontId="0" fillId="0" borderId="25" xfId="0" applyBorder="1"/>
    <xf numFmtId="166" fontId="0" fillId="0" borderId="0" xfId="0" applyNumberFormat="1" applyAlignment="1">
      <alignment horizontal="left" vertical="center" indent="1"/>
    </xf>
    <xf numFmtId="166" fontId="0" fillId="0" borderId="0" xfId="0" applyNumberFormat="1"/>
    <xf numFmtId="43" fontId="0" fillId="0" borderId="25" xfId="0" applyNumberFormat="1" applyBorder="1"/>
    <xf numFmtId="0" fontId="2" fillId="0" borderId="27" xfId="0" applyFont="1" applyBorder="1" applyAlignment="1">
      <alignment horizontal="right"/>
    </xf>
    <xf numFmtId="0" fontId="0" fillId="0" borderId="28" xfId="0" applyBorder="1"/>
    <xf numFmtId="43" fontId="0" fillId="0" borderId="29" xfId="1" applyFont="1" applyBorder="1"/>
    <xf numFmtId="0" fontId="2" fillId="3" borderId="11" xfId="0" applyFont="1" applyFill="1" applyBorder="1"/>
    <xf numFmtId="0" fontId="2" fillId="0" borderId="4" xfId="0" applyFont="1" applyBorder="1"/>
    <xf numFmtId="0" fontId="2" fillId="0" borderId="3" xfId="0" applyFont="1" applyBorder="1"/>
    <xf numFmtId="43" fontId="3" fillId="0" borderId="0" xfId="0" applyNumberFormat="1" applyFont="1"/>
    <xf numFmtId="0" fontId="6" fillId="0" borderId="20" xfId="0" applyFont="1" applyBorder="1" applyAlignment="1">
      <alignment horizontal="right"/>
    </xf>
    <xf numFmtId="8" fontId="2" fillId="0" borderId="20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43" fontId="0" fillId="0" borderId="28" xfId="1" applyFont="1" applyBorder="1" applyAlignment="1"/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6" fillId="8" borderId="20" xfId="0" applyFont="1" applyFill="1" applyBorder="1" applyAlignment="1">
      <alignment horizontal="center"/>
    </xf>
    <xf numFmtId="0" fontId="6" fillId="8" borderId="25" xfId="0" applyFont="1" applyFill="1" applyBorder="1" applyAlignment="1">
      <alignment horizontal="center"/>
    </xf>
    <xf numFmtId="0" fontId="2" fillId="5" borderId="3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64" fontId="8" fillId="0" borderId="0" xfId="1" applyNumberFormat="1" applyFont="1"/>
    <xf numFmtId="0" fontId="8" fillId="0" borderId="0" xfId="0" applyFont="1"/>
    <xf numFmtId="165" fontId="8" fillId="0" borderId="0" xfId="0" applyNumberFormat="1" applyFont="1"/>
    <xf numFmtId="164" fontId="8" fillId="0" borderId="0" xfId="0" applyNumberFormat="1" applyFont="1"/>
    <xf numFmtId="43" fontId="8" fillId="0" borderId="0" xfId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4</xdr:col>
      <xdr:colOff>461433</xdr:colOff>
      <xdr:row>30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6700"/>
          <a:ext cx="4614333" cy="2197100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508000</xdr:colOff>
      <xdr:row>19</xdr:row>
      <xdr:rowOff>190500</xdr:rowOff>
    </xdr:from>
    <xdr:to>
      <xdr:col>9</xdr:col>
      <xdr:colOff>50800</xdr:colOff>
      <xdr:row>25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0" y="4064000"/>
          <a:ext cx="3670300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520700</xdr:colOff>
      <xdr:row>25</xdr:row>
      <xdr:rowOff>139700</xdr:rowOff>
    </xdr:from>
    <xdr:to>
      <xdr:col>9</xdr:col>
      <xdr:colOff>101600</xdr:colOff>
      <xdr:row>31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3600" y="5232400"/>
          <a:ext cx="3708400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59811</xdr:colOff>
      <xdr:row>0</xdr:row>
      <xdr:rowOff>10854</xdr:rowOff>
    </xdr:from>
    <xdr:to>
      <xdr:col>5</xdr:col>
      <xdr:colOff>644010</xdr:colOff>
      <xdr:row>2</xdr:row>
      <xdr:rowOff>112454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4939" y="2691965"/>
          <a:ext cx="3059071" cy="514079"/>
        </a:xfrm>
        <a:prstGeom prst="rect">
          <a:avLst/>
        </a:prstGeom>
      </xdr:spPr>
    </xdr:pic>
    <xdr:clientData/>
  </xdr:twoCellAnchor>
  <xdr:twoCellAnchor editAs="oneCell">
    <xdr:from>
      <xdr:col>2</xdr:col>
      <xdr:colOff>94220</xdr:colOff>
      <xdr:row>2</xdr:row>
      <xdr:rowOff>85428</xdr:rowOff>
    </xdr:from>
    <xdr:to>
      <xdr:col>5</xdr:col>
      <xdr:colOff>627619</xdr:colOff>
      <xdr:row>4</xdr:row>
      <xdr:rowOff>164668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9348" y="3179018"/>
          <a:ext cx="3008271" cy="491718"/>
        </a:xfrm>
        <a:prstGeom prst="rect">
          <a:avLst/>
        </a:prstGeom>
      </xdr:spPr>
    </xdr:pic>
    <xdr:clientData/>
  </xdr:twoCellAnchor>
  <xdr:twoCellAnchor editAs="oneCell">
    <xdr:from>
      <xdr:col>2</xdr:col>
      <xdr:colOff>237226</xdr:colOff>
      <xdr:row>4</xdr:row>
      <xdr:rowOff>187049</xdr:rowOff>
    </xdr:from>
    <xdr:to>
      <xdr:col>5</xdr:col>
      <xdr:colOff>744956</xdr:colOff>
      <xdr:row>17</xdr:row>
      <xdr:rowOff>48977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8346" y="3844649"/>
          <a:ext cx="2976610" cy="25035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88900</xdr:rowOff>
        </xdr:from>
        <xdr:to>
          <xdr:col>6</xdr:col>
          <xdr:colOff>25400</xdr:colOff>
          <xdr:row>19</xdr:row>
          <xdr:rowOff>76200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101600</xdr:colOff>
      <xdr:row>19</xdr:row>
      <xdr:rowOff>136308</xdr:rowOff>
    </xdr:from>
    <xdr:to>
      <xdr:col>7</xdr:col>
      <xdr:colOff>317500</xdr:colOff>
      <xdr:row>35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4073308"/>
          <a:ext cx="6908800" cy="3241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7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4AE3-3819-D548-8946-5EB22269EDBF}">
  <dimension ref="A1:C17"/>
  <sheetViews>
    <sheetView workbookViewId="0">
      <selection activeCell="A16" sqref="A16"/>
    </sheetView>
  </sheetViews>
  <sheetFormatPr baseColWidth="10" defaultRowHeight="16" x14ac:dyDescent="0.2"/>
  <cols>
    <col min="1" max="1" width="15.33203125" customWidth="1"/>
    <col min="2" max="2" width="17.5" customWidth="1"/>
  </cols>
  <sheetData>
    <row r="1" spans="1:3" ht="17" thickBot="1" x14ac:dyDescent="0.25">
      <c r="A1" s="61" t="s">
        <v>85</v>
      </c>
      <c r="B1" s="62"/>
      <c r="C1" s="63"/>
    </row>
    <row r="2" spans="1:3" x14ac:dyDescent="0.2">
      <c r="A2">
        <v>13</v>
      </c>
      <c r="B2" s="1" t="s">
        <v>33</v>
      </c>
    </row>
    <row r="3" spans="1:3" x14ac:dyDescent="0.2">
      <c r="A3">
        <v>12</v>
      </c>
      <c r="B3" s="1" t="s">
        <v>1</v>
      </c>
    </row>
    <row r="4" spans="1:3" x14ac:dyDescent="0.2">
      <c r="A4">
        <v>0.1</v>
      </c>
      <c r="B4" s="1" t="s">
        <v>34</v>
      </c>
    </row>
    <row r="5" spans="1:3" x14ac:dyDescent="0.2">
      <c r="A5">
        <v>0.2</v>
      </c>
      <c r="B5" s="1" t="s">
        <v>35</v>
      </c>
    </row>
    <row r="6" spans="1:3" x14ac:dyDescent="0.2">
      <c r="A6">
        <v>0.05</v>
      </c>
      <c r="B6" s="1" t="s">
        <v>84</v>
      </c>
    </row>
    <row r="7" spans="1:3" x14ac:dyDescent="0.2">
      <c r="A7">
        <v>0.5</v>
      </c>
      <c r="B7" s="1" t="s">
        <v>3</v>
      </c>
    </row>
    <row r="8" spans="1:3" x14ac:dyDescent="0.2">
      <c r="A8">
        <f>(LN(A2/A3)+(A4+(A5^2)/2)*A7)/(A5*SQRT(A7))</f>
        <v>0.99025148251682893</v>
      </c>
      <c r="B8" s="1" t="s">
        <v>36</v>
      </c>
    </row>
    <row r="9" spans="1:3" x14ac:dyDescent="0.2">
      <c r="A9">
        <f>A8-(A5*SQRT(A7))</f>
        <v>0.84883012627951937</v>
      </c>
      <c r="B9" s="1" t="s">
        <v>37</v>
      </c>
    </row>
    <row r="10" spans="1:3" x14ac:dyDescent="0.2">
      <c r="A10">
        <f>_xlfn.NORM.S.DIST(A8,TRUE)</f>
        <v>0.83897439273892638</v>
      </c>
      <c r="B10" s="1" t="s">
        <v>82</v>
      </c>
    </row>
    <row r="11" spans="1:3" x14ac:dyDescent="0.2">
      <c r="A11">
        <f>_xlfn.NORM.S.DIST(A9,TRUE)</f>
        <v>0.80201208799312595</v>
      </c>
      <c r="B11" s="1" t="s">
        <v>83</v>
      </c>
    </row>
    <row r="12" spans="1:3" x14ac:dyDescent="0.2">
      <c r="A12" s="17" t="s">
        <v>87</v>
      </c>
    </row>
    <row r="13" spans="1:3" x14ac:dyDescent="0.2">
      <c r="A13">
        <f>$A$2*EXP(-$A$5*$A$7)*_xlfn.NORM.S.DIST($A$8,TRUE)-$A$3*EXP(-$A$4*$A$7)*_xlfn.NORM.S.DIST($A$9,TRUE)</f>
        <v>0.71399054036249865</v>
      </c>
      <c r="B13" s="17" t="s">
        <v>72</v>
      </c>
    </row>
    <row r="14" spans="1:3" x14ac:dyDescent="0.2">
      <c r="A14">
        <f>$A$3*EXP(-$A$4*$A$7)*_xlfn.NORM.S.DIST(-$A$9,TRUE)-$A$2*EXP(-$A$5*$A$7)*_xlfn.NORM.S.DIST(-$A$8,TRUE)</f>
        <v>0.36585719990359111</v>
      </c>
      <c r="B14" s="17" t="s">
        <v>73</v>
      </c>
    </row>
    <row r="15" spans="1:3" x14ac:dyDescent="0.2">
      <c r="A15" s="17" t="s">
        <v>86</v>
      </c>
      <c r="B15" s="1"/>
    </row>
    <row r="16" spans="1:3" x14ac:dyDescent="0.2">
      <c r="A16">
        <f>$A$2*EXP(-$A$6*$A$7)*_xlfn.NORM.S.DIST($A$8,TRUE)-$A$3*EXP(-$A$4*$A$7)*_xlfn.NORM.S.DIST($A$9,TRUE)</f>
        <v>1.4826105724391336</v>
      </c>
      <c r="B16" s="17" t="s">
        <v>72</v>
      </c>
    </row>
    <row r="17" spans="1:2" x14ac:dyDescent="0.2">
      <c r="A17">
        <f>A3*EXP(-A4*A7)*_xlfn.NORM.S.DIST(-A9,TRUE)-A2*EXP(-A6*A7)*_xlfn.NORM.S.DIST(-A8,TRUE)</f>
        <v>0.21833481007937605</v>
      </c>
      <c r="B17" s="17" t="s">
        <v>73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21B5-2D72-B440-B31F-D35492A1BD2B}">
  <dimension ref="A1:I39"/>
  <sheetViews>
    <sheetView tabSelected="1" workbookViewId="0">
      <selection activeCell="I9" sqref="I9"/>
    </sheetView>
  </sheetViews>
  <sheetFormatPr baseColWidth="10" defaultRowHeight="16" x14ac:dyDescent="0.2"/>
  <cols>
    <col min="1" max="1" width="23.33203125" customWidth="1"/>
    <col min="2" max="2" width="8.1640625" customWidth="1"/>
    <col min="3" max="3" width="9.33203125" customWidth="1"/>
    <col min="4" max="4" width="23.1640625" customWidth="1"/>
    <col min="5" max="5" width="15" customWidth="1"/>
    <col min="6" max="6" width="9.83203125" customWidth="1"/>
    <col min="7" max="7" width="13.5" customWidth="1"/>
    <col min="8" max="8" width="12.83203125" customWidth="1"/>
    <col min="9" max="9" width="13" customWidth="1"/>
  </cols>
  <sheetData>
    <row r="1" spans="1:9" ht="20" thickBot="1" x14ac:dyDescent="0.3">
      <c r="A1" s="73" t="s">
        <v>98</v>
      </c>
      <c r="B1" s="74"/>
      <c r="C1" s="75"/>
      <c r="D1" s="69" t="s">
        <v>88</v>
      </c>
      <c r="E1" s="70"/>
      <c r="F1" s="39" t="s">
        <v>99</v>
      </c>
      <c r="G1" s="40" t="s">
        <v>57</v>
      </c>
      <c r="H1" s="41" t="s">
        <v>68</v>
      </c>
      <c r="I1" s="42" t="s">
        <v>69</v>
      </c>
    </row>
    <row r="2" spans="1:9" ht="19" x14ac:dyDescent="0.25">
      <c r="A2" s="26"/>
      <c r="B2" s="27"/>
      <c r="C2" s="27"/>
      <c r="D2" s="57" t="s">
        <v>10</v>
      </c>
      <c r="E2" s="59">
        <f>E12^(E13*SQRT(B7))</f>
        <v>1.151909910168909</v>
      </c>
      <c r="F2" s="35" t="s">
        <v>54</v>
      </c>
      <c r="G2" s="43">
        <f>MAX(0,B5-E9)</f>
        <v>0</v>
      </c>
      <c r="H2" s="1" t="s">
        <v>64</v>
      </c>
      <c r="I2" s="44">
        <f>MAX(0,B20-B5)</f>
        <v>2.9748288321958167</v>
      </c>
    </row>
    <row r="3" spans="1:9" x14ac:dyDescent="0.2">
      <c r="A3" s="25" t="s">
        <v>7</v>
      </c>
      <c r="D3" s="35" t="s">
        <v>11</v>
      </c>
      <c r="E3" s="59">
        <f>1/E2</f>
        <v>0.86812344539458486</v>
      </c>
      <c r="F3" s="35" t="s">
        <v>55</v>
      </c>
      <c r="G3" s="45">
        <f>MAX(0,B5-B4,0)</f>
        <v>0</v>
      </c>
      <c r="H3" s="1" t="s">
        <v>65</v>
      </c>
      <c r="I3" s="46">
        <f>MAX(0,B4-B5)</f>
        <v>1</v>
      </c>
    </row>
    <row r="4" spans="1:9" ht="17" thickBot="1" x14ac:dyDescent="0.25">
      <c r="A4" s="20" t="s">
        <v>0</v>
      </c>
      <c r="B4">
        <v>13</v>
      </c>
      <c r="C4" s="4">
        <f>FV(B8,$B$7,0,-$B$16)</f>
        <v>13</v>
      </c>
      <c r="D4" s="58" t="s">
        <v>95</v>
      </c>
      <c r="E4" s="59">
        <f>(B18-E3)/(E2-E3)</f>
        <v>0.64537133977508054</v>
      </c>
      <c r="F4" s="35" t="s">
        <v>56</v>
      </c>
      <c r="G4" s="43">
        <f>MAX(0,B5-E8)</f>
        <v>0.71439520987039629</v>
      </c>
      <c r="H4" s="1" t="s">
        <v>66</v>
      </c>
      <c r="I4" s="44">
        <f>MAX(0,B21-12)</f>
        <v>0</v>
      </c>
    </row>
    <row r="5" spans="1:9" ht="17" thickBot="1" x14ac:dyDescent="0.25">
      <c r="A5" s="20" t="s">
        <v>1</v>
      </c>
      <c r="B5">
        <v>12</v>
      </c>
      <c r="D5" s="35" t="s">
        <v>89</v>
      </c>
      <c r="E5" s="59">
        <f>E12^(-B8*B7)</f>
        <v>0.9512294245007139</v>
      </c>
      <c r="F5" s="35"/>
      <c r="G5" s="64" t="s">
        <v>58</v>
      </c>
      <c r="H5" s="65"/>
      <c r="I5" s="66"/>
    </row>
    <row r="6" spans="1:9" x14ac:dyDescent="0.2">
      <c r="A6" s="20" t="s">
        <v>2</v>
      </c>
      <c r="B6">
        <v>0.2</v>
      </c>
      <c r="D6" s="35" t="s">
        <v>0</v>
      </c>
      <c r="E6" s="59">
        <v>13</v>
      </c>
      <c r="F6" s="35" t="s">
        <v>59</v>
      </c>
      <c r="G6" s="47">
        <f>$B$19*($E$16*0+$E$17*0)</f>
        <v>0</v>
      </c>
      <c r="H6" s="1" t="s">
        <v>70</v>
      </c>
      <c r="I6" s="49">
        <f>B19*(E16*I2*1+E17*1)</f>
        <v>2.1635693562786948</v>
      </c>
    </row>
    <row r="7" spans="1:9" ht="17" thickBot="1" x14ac:dyDescent="0.25">
      <c r="A7" s="20" t="s">
        <v>3</v>
      </c>
      <c r="B7">
        <v>0.5</v>
      </c>
      <c r="D7" s="35" t="s">
        <v>90</v>
      </c>
      <c r="E7" s="59">
        <f>13*E2</f>
        <v>14.974828832195817</v>
      </c>
      <c r="F7" s="35" t="s">
        <v>60</v>
      </c>
      <c r="G7" s="48">
        <f>$B$19*($E$16*0+$E$17*G4)</f>
        <v>0.24098923391005231</v>
      </c>
      <c r="H7" s="1" t="s">
        <v>71</v>
      </c>
      <c r="I7" s="49">
        <f>B19*(E16*1+E17*0)</f>
        <v>0.61389620812350454</v>
      </c>
    </row>
    <row r="8" spans="1:9" ht="17" thickBot="1" x14ac:dyDescent="0.25">
      <c r="A8" s="20" t="s">
        <v>4</v>
      </c>
      <c r="B8" s="8">
        <v>0.1</v>
      </c>
      <c r="D8" s="35" t="s">
        <v>91</v>
      </c>
      <c r="E8" s="59">
        <f>E6*E3</f>
        <v>11.285604790129604</v>
      </c>
      <c r="F8" s="35"/>
      <c r="G8" s="64" t="s">
        <v>62</v>
      </c>
      <c r="H8" s="65"/>
      <c r="I8" s="66"/>
    </row>
    <row r="9" spans="1:9" x14ac:dyDescent="0.2">
      <c r="A9" s="20" t="s">
        <v>5</v>
      </c>
      <c r="B9">
        <f>EXP(1)</f>
        <v>2.7182818284590451</v>
      </c>
      <c r="D9" s="35" t="s">
        <v>92</v>
      </c>
      <c r="E9" s="59">
        <f>E7*E2</f>
        <v>17.249653734889471</v>
      </c>
      <c r="F9" s="50" t="s">
        <v>61</v>
      </c>
      <c r="G9" s="60">
        <f>B19*E16*0+E17*G7</f>
        <v>8.5461689150151579E-2</v>
      </c>
      <c r="H9" s="51"/>
      <c r="I9" s="52">
        <f>B19*(E16*I6+E17*I7)</f>
        <v>1.535294606239777</v>
      </c>
    </row>
    <row r="10" spans="1:9" x14ac:dyDescent="0.2">
      <c r="A10" s="16" t="s">
        <v>6</v>
      </c>
      <c r="B10" s="23">
        <f>E29</f>
        <v>1.4533751498602583</v>
      </c>
      <c r="D10" s="35" t="s">
        <v>93</v>
      </c>
      <c r="E10" s="59">
        <f>E7*E3</f>
        <v>13</v>
      </c>
    </row>
    <row r="11" spans="1:9" x14ac:dyDescent="0.2">
      <c r="A11" s="55"/>
      <c r="B11" s="56"/>
      <c r="D11" s="35" t="s">
        <v>94</v>
      </c>
      <c r="E11" s="59">
        <f>E8*E3</f>
        <v>9.7972981137689423</v>
      </c>
    </row>
    <row r="12" spans="1:9" x14ac:dyDescent="0.2">
      <c r="A12" s="55"/>
      <c r="B12" s="56"/>
      <c r="D12" s="35" t="s">
        <v>5</v>
      </c>
      <c r="E12" s="59">
        <f>EXP(1)</f>
        <v>2.7182818284590451</v>
      </c>
    </row>
    <row r="13" spans="1:9" x14ac:dyDescent="0.2">
      <c r="A13" s="55"/>
      <c r="B13" s="56"/>
      <c r="D13" s="35" t="s">
        <v>35</v>
      </c>
      <c r="E13" s="59">
        <v>0.2</v>
      </c>
    </row>
    <row r="14" spans="1:9" x14ac:dyDescent="0.2">
      <c r="A14" s="67" t="s">
        <v>67</v>
      </c>
      <c r="B14" s="68"/>
      <c r="C14" s="68"/>
      <c r="D14" s="68"/>
      <c r="E14" s="68"/>
      <c r="F14" s="68"/>
      <c r="G14" s="34"/>
    </row>
    <row r="15" spans="1:9" x14ac:dyDescent="0.2">
      <c r="A15" s="16" t="s">
        <v>15</v>
      </c>
      <c r="B15" s="3" t="s">
        <v>30</v>
      </c>
      <c r="C15" s="13" t="s">
        <v>31</v>
      </c>
      <c r="D15" s="78" t="s">
        <v>16</v>
      </c>
      <c r="E15" s="79"/>
    </row>
    <row r="16" spans="1:9" x14ac:dyDescent="0.2">
      <c r="A16" s="18" t="s">
        <v>8</v>
      </c>
      <c r="B16" s="4">
        <f>-PV($B$8,$B$7,0,$B$4)</f>
        <v>12.395013660192699</v>
      </c>
      <c r="C16" s="86">
        <f>$B$4/((1+$B$8)^$B$7)</f>
        <v>12.395013660192699</v>
      </c>
      <c r="D16" s="18" t="s">
        <v>96</v>
      </c>
      <c r="E16" s="8">
        <f>(B18-B23)/(B22-B23)</f>
        <v>0.64537133977508054</v>
      </c>
      <c r="F16" s="90">
        <f>(EXP(B8*B7)-B23)/(B22-B23)</f>
        <v>0.64537133977508054</v>
      </c>
    </row>
    <row r="17" spans="1:7" x14ac:dyDescent="0.2">
      <c r="A17" s="18" t="s">
        <v>9</v>
      </c>
      <c r="B17" s="4">
        <f>-FV($B$8,$B$7,0,$B$4)</f>
        <v>13.634515026211972</v>
      </c>
      <c r="C17" s="89">
        <f>$B$4*(EXP($B$8*$B$6))</f>
        <v>13.262617420347825</v>
      </c>
      <c r="D17" s="17" t="s">
        <v>63</v>
      </c>
      <c r="E17" s="6">
        <f>1-F16</f>
        <v>0.35462866022491946</v>
      </c>
      <c r="F17" s="38"/>
    </row>
    <row r="18" spans="1:7" x14ac:dyDescent="0.2">
      <c r="A18" s="18" t="s">
        <v>29</v>
      </c>
      <c r="B18" s="7">
        <f>$B$9^($B$8*$B$7)</f>
        <v>1.0512710963760241</v>
      </c>
      <c r="C18" s="89"/>
      <c r="D18" s="18" t="s">
        <v>32</v>
      </c>
      <c r="E18" s="5">
        <f>$B$4*(EXP($B$8*$B$6))</f>
        <v>13.262617420347825</v>
      </c>
      <c r="F18" s="90">
        <f>$B$4*$B$18</f>
        <v>13.666524252888314</v>
      </c>
    </row>
    <row r="19" spans="1:7" x14ac:dyDescent="0.2">
      <c r="A19" s="18" t="s">
        <v>17</v>
      </c>
      <c r="B19" s="7">
        <f>$B$9^(-$B$8*$B$7)</f>
        <v>0.9512294245007139</v>
      </c>
      <c r="C19" s="87"/>
      <c r="D19" s="20"/>
      <c r="E19" s="12" t="s">
        <v>18</v>
      </c>
    </row>
    <row r="20" spans="1:7" x14ac:dyDescent="0.2">
      <c r="A20" s="18" t="s">
        <v>10</v>
      </c>
      <c r="B20" s="10">
        <f>$B$4*($B$9^($B$6*SQRT($B$7)))</f>
        <v>14.974828832195817</v>
      </c>
      <c r="C20" s="88">
        <f>$B$4*(EXP($B$6*SQRT($B$7)))</f>
        <v>14.974828832195817</v>
      </c>
      <c r="D20" s="18" t="s">
        <v>20</v>
      </c>
      <c r="E20" s="7">
        <f>B20-B21</f>
        <v>3.689224042066213</v>
      </c>
    </row>
    <row r="21" spans="1:7" x14ac:dyDescent="0.2">
      <c r="A21" s="19" t="s">
        <v>11</v>
      </c>
      <c r="B21" s="7">
        <f>$B$4/(($B$9^($B$6*SQRT($B$7))))</f>
        <v>11.285604790129604</v>
      </c>
      <c r="C21" s="88">
        <f>$B$4/(EXP($B$6*SQRT($B$7)))</f>
        <v>11.285604790129604</v>
      </c>
      <c r="D21" s="21"/>
      <c r="E21" s="14" t="s">
        <v>19</v>
      </c>
    </row>
    <row r="22" spans="1:7" x14ac:dyDescent="0.2">
      <c r="A22" s="18" t="s">
        <v>23</v>
      </c>
      <c r="B22" s="7">
        <f>EXP($B$6*SQRT($B$7))</f>
        <v>1.151909910168909</v>
      </c>
      <c r="C22" s="7">
        <f>B4*B22</f>
        <v>14.974828832195817</v>
      </c>
      <c r="D22" s="18" t="s">
        <v>21</v>
      </c>
      <c r="E22" s="8">
        <f>$E$18-$B$21</f>
        <v>1.9770126302182209</v>
      </c>
      <c r="F22" s="8"/>
    </row>
    <row r="23" spans="1:7" x14ac:dyDescent="0.2">
      <c r="A23" s="18" t="s">
        <v>24</v>
      </c>
      <c r="B23" s="7">
        <f>1/B22</f>
        <v>0.86812344539458486</v>
      </c>
      <c r="C23" s="7">
        <f>B4*B23</f>
        <v>11.285604790129604</v>
      </c>
      <c r="D23" s="22"/>
      <c r="E23" s="15" t="s">
        <v>22</v>
      </c>
    </row>
    <row r="24" spans="1:7" x14ac:dyDescent="0.2">
      <c r="A24" s="19"/>
      <c r="B24" s="7"/>
      <c r="C24" s="7"/>
      <c r="D24" s="18" t="s">
        <v>25</v>
      </c>
      <c r="E24" s="7">
        <f>$E$22/$E$20</f>
        <v>0.53588847076659551</v>
      </c>
      <c r="F24" s="7"/>
    </row>
    <row r="25" spans="1:7" x14ac:dyDescent="0.2">
      <c r="A25" s="16" t="s">
        <v>12</v>
      </c>
      <c r="D25" s="18" t="s">
        <v>26</v>
      </c>
      <c r="E25" s="7">
        <f>1-$E$24</f>
        <v>0.46411152923340449</v>
      </c>
      <c r="F25" s="7"/>
    </row>
    <row r="26" spans="1:7" x14ac:dyDescent="0.2">
      <c r="A26" s="18" t="s">
        <v>13</v>
      </c>
      <c r="B26" s="24">
        <f>$B$20-$B$16</f>
        <v>2.5798151720031175</v>
      </c>
      <c r="C26" s="9"/>
      <c r="D26" s="21"/>
    </row>
    <row r="27" spans="1:7" x14ac:dyDescent="0.2">
      <c r="A27" s="18" t="s">
        <v>14</v>
      </c>
      <c r="B27" s="11">
        <f>C16-B21</f>
        <v>1.1094088700630955</v>
      </c>
      <c r="C27">
        <v>0</v>
      </c>
      <c r="D27" s="76" t="s">
        <v>27</v>
      </c>
      <c r="E27" s="77"/>
    </row>
    <row r="28" spans="1:7" x14ac:dyDescent="0.2">
      <c r="A28" s="20"/>
      <c r="D28" s="71" t="s">
        <v>28</v>
      </c>
      <c r="E28" s="72"/>
    </row>
    <row r="29" spans="1:7" x14ac:dyDescent="0.2">
      <c r="A29" s="20"/>
      <c r="D29" s="16" t="s">
        <v>97</v>
      </c>
      <c r="E29" s="6">
        <f>(($E$24*$B$26)+($E$25*$C$27))/$B$19</f>
        <v>1.4533751498602583</v>
      </c>
      <c r="F29" s="6"/>
    </row>
    <row r="30" spans="1:7" x14ac:dyDescent="0.2">
      <c r="A30" s="20"/>
      <c r="E30" s="6"/>
      <c r="F30" s="6"/>
    </row>
    <row r="31" spans="1:7" x14ac:dyDescent="0.2">
      <c r="A31" s="67" t="s">
        <v>67</v>
      </c>
      <c r="B31" s="68"/>
      <c r="C31" s="68"/>
      <c r="D31" s="68"/>
      <c r="E31" s="68"/>
      <c r="F31" s="68"/>
      <c r="G31" s="34"/>
    </row>
    <row r="32" spans="1:7" x14ac:dyDescent="0.2">
      <c r="A32" s="54"/>
      <c r="B32" s="1"/>
    </row>
    <row r="33" spans="1:3" x14ac:dyDescent="0.2">
      <c r="A33" s="20"/>
    </row>
    <row r="34" spans="1:3" x14ac:dyDescent="0.2">
      <c r="A34" s="20"/>
      <c r="C34" s="1"/>
    </row>
    <row r="35" spans="1:3" x14ac:dyDescent="0.2">
      <c r="A35" s="20"/>
    </row>
    <row r="36" spans="1:3" x14ac:dyDescent="0.2">
      <c r="A36" s="20"/>
    </row>
    <row r="37" spans="1:3" x14ac:dyDescent="0.2">
      <c r="A37" s="20"/>
      <c r="B37" s="8"/>
    </row>
    <row r="38" spans="1:3" x14ac:dyDescent="0.2">
      <c r="A38" s="20"/>
    </row>
    <row r="39" spans="1:3" x14ac:dyDescent="0.2">
      <c r="A39" s="20"/>
    </row>
  </sheetData>
  <mergeCells count="9">
    <mergeCell ref="G5:I5"/>
    <mergeCell ref="G8:I8"/>
    <mergeCell ref="A31:F31"/>
    <mergeCell ref="D1:E1"/>
    <mergeCell ref="D28:E28"/>
    <mergeCell ref="A1:C1"/>
    <mergeCell ref="D27:E27"/>
    <mergeCell ref="D15:E15"/>
    <mergeCell ref="A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686F-052B-8A42-B8DE-A0D93F09E2A0}">
  <dimension ref="A1:D16"/>
  <sheetViews>
    <sheetView zoomScale="125" workbookViewId="0">
      <selection activeCell="B2" sqref="B2"/>
    </sheetView>
  </sheetViews>
  <sheetFormatPr baseColWidth="10" defaultRowHeight="16" x14ac:dyDescent="0.2"/>
  <cols>
    <col min="1" max="1" width="30.5" customWidth="1"/>
    <col min="2" max="2" width="20.33203125" bestFit="1" customWidth="1"/>
  </cols>
  <sheetData>
    <row r="1" spans="1:4" x14ac:dyDescent="0.2">
      <c r="A1" s="2" t="s">
        <v>76</v>
      </c>
      <c r="C1" s="36"/>
      <c r="D1" s="36"/>
    </row>
    <row r="2" spans="1:4" x14ac:dyDescent="0.2">
      <c r="A2" s="1" t="s">
        <v>36</v>
      </c>
      <c r="B2">
        <f>(LN(B6/B7)+(B10-B11+(B8^2)/2)*B9)/(B8*SQRT(B9))</f>
        <v>0.2968356960764344</v>
      </c>
      <c r="C2" s="36"/>
      <c r="D2" s="36"/>
    </row>
    <row r="3" spans="1:4" x14ac:dyDescent="0.2">
      <c r="A3" s="1" t="s">
        <v>37</v>
      </c>
      <c r="B3">
        <f>B2-(B8*SQRT(B9))</f>
        <v>0.15541433983912487</v>
      </c>
      <c r="C3" s="36"/>
      <c r="D3" s="36"/>
    </row>
    <row r="4" spans="1:4" x14ac:dyDescent="0.2">
      <c r="A4" s="1" t="s">
        <v>74</v>
      </c>
      <c r="B4">
        <f>_xlfn.NORM.S.DIST(-B2,TRUE)</f>
        <v>0.3832959757529133</v>
      </c>
      <c r="C4" s="36"/>
      <c r="D4" s="36"/>
    </row>
    <row r="5" spans="1:4" x14ac:dyDescent="0.2">
      <c r="A5" s="1" t="s">
        <v>75</v>
      </c>
      <c r="B5">
        <f>_xlfn.NORM.S.DIST(-B3,TRUE)</f>
        <v>0.43824733998133714</v>
      </c>
      <c r="C5" s="36"/>
      <c r="D5" s="36"/>
    </row>
    <row r="6" spans="1:4" x14ac:dyDescent="0.2">
      <c r="A6" s="1" t="s">
        <v>77</v>
      </c>
      <c r="B6">
        <v>0.92</v>
      </c>
      <c r="C6" s="36"/>
      <c r="D6" s="36"/>
    </row>
    <row r="7" spans="1:4" x14ac:dyDescent="0.2">
      <c r="A7" s="1" t="s">
        <v>1</v>
      </c>
      <c r="B7">
        <v>0.9</v>
      </c>
      <c r="C7" s="36"/>
      <c r="D7" s="36"/>
    </row>
    <row r="8" spans="1:4" x14ac:dyDescent="0.2">
      <c r="A8" s="1" t="s">
        <v>2</v>
      </c>
      <c r="B8">
        <v>0.2</v>
      </c>
      <c r="C8" s="36"/>
      <c r="D8" s="36"/>
    </row>
    <row r="9" spans="1:4" x14ac:dyDescent="0.2">
      <c r="A9" s="1" t="s">
        <v>3</v>
      </c>
      <c r="B9">
        <v>0.5</v>
      </c>
      <c r="C9" s="36"/>
      <c r="D9" s="36"/>
    </row>
    <row r="10" spans="1:4" x14ac:dyDescent="0.2">
      <c r="A10" s="1" t="s">
        <v>78</v>
      </c>
      <c r="B10">
        <v>0.1</v>
      </c>
      <c r="C10" s="36"/>
      <c r="D10" s="36"/>
    </row>
    <row r="11" spans="1:4" x14ac:dyDescent="0.2">
      <c r="A11" s="1" t="s">
        <v>79</v>
      </c>
      <c r="B11" s="8">
        <v>0.08</v>
      </c>
      <c r="C11" s="37"/>
      <c r="D11" s="37"/>
    </row>
    <row r="12" spans="1:4" x14ac:dyDescent="0.2">
      <c r="A12" s="1" t="s">
        <v>5</v>
      </c>
      <c r="B12">
        <f>EXP(1)</f>
        <v>2.7182818284590451</v>
      </c>
      <c r="C12" s="36"/>
      <c r="D12" s="36"/>
    </row>
    <row r="13" spans="1:4" x14ac:dyDescent="0.2">
      <c r="A13" s="53" t="s">
        <v>80</v>
      </c>
      <c r="B13" s="53">
        <f>$B$7*EXP(-$B$10*$B$9)*_xlfn.NORM.S.DIST(-$B$3,TRUE)-$B$6*EXP(-$B$11*$B$9)*_xlfn.NORM.S.DIST(-$B$2,TRUE)</f>
        <v>3.6381000972329158E-2</v>
      </c>
      <c r="D13" s="1"/>
    </row>
    <row r="14" spans="1:4" x14ac:dyDescent="0.2">
      <c r="A14" s="1" t="s">
        <v>74</v>
      </c>
      <c r="B14">
        <f>_xlfn.NORM.S.DIST($B$2,TRUE)</f>
        <v>0.6167040242470867</v>
      </c>
      <c r="D14" s="1"/>
    </row>
    <row r="15" spans="1:4" x14ac:dyDescent="0.2">
      <c r="A15" s="1" t="s">
        <v>75</v>
      </c>
      <c r="B15">
        <f>_xlfn.NORM.S.DIST($B$3,TRUE)</f>
        <v>0.56175266001866286</v>
      </c>
      <c r="D15" s="1"/>
    </row>
    <row r="16" spans="1:4" x14ac:dyDescent="0.2">
      <c r="A16" s="53" t="s">
        <v>81</v>
      </c>
      <c r="B16" s="53">
        <f>$B$6*EXP(-$B$11*$B$9)*B14-$B$7*EXP(-$B$10*$B$9)*B15</f>
        <v>6.4200802941823953E-2</v>
      </c>
      <c r="C16" s="36"/>
      <c r="D16" s="3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9BE5-062F-3748-A9A7-BBBB5F283272}">
  <dimension ref="A1:I25"/>
  <sheetViews>
    <sheetView topLeftCell="A3" workbookViewId="0">
      <selection activeCell="K19" sqref="K19"/>
    </sheetView>
  </sheetViews>
  <sheetFormatPr baseColWidth="10" defaultRowHeight="16" x14ac:dyDescent="0.2"/>
  <cols>
    <col min="1" max="1" width="15" customWidth="1"/>
    <col min="4" max="4" width="14.83203125" customWidth="1"/>
    <col min="7" max="7" width="14.6640625" customWidth="1"/>
  </cols>
  <sheetData>
    <row r="1" spans="1:8" ht="17" thickBot="1" x14ac:dyDescent="0.25"/>
    <row r="2" spans="1:8" ht="20" thickBot="1" x14ac:dyDescent="0.3">
      <c r="A2" s="82" t="s">
        <v>50</v>
      </c>
      <c r="B2" s="83"/>
      <c r="C2" s="83"/>
      <c r="D2" s="83"/>
      <c r="E2" s="83"/>
      <c r="F2" s="83"/>
      <c r="G2" s="83"/>
      <c r="H2" s="84"/>
    </row>
    <row r="3" spans="1:8" ht="17" thickBot="1" x14ac:dyDescent="0.25">
      <c r="A3" s="80" t="s">
        <v>38</v>
      </c>
      <c r="B3" s="81"/>
      <c r="D3" s="80" t="s">
        <v>39</v>
      </c>
      <c r="E3" s="81"/>
      <c r="G3" s="80" t="s">
        <v>40</v>
      </c>
      <c r="H3" s="81"/>
    </row>
    <row r="4" spans="1:8" x14ac:dyDescent="0.2">
      <c r="A4" s="28" t="s">
        <v>41</v>
      </c>
      <c r="B4" s="28">
        <v>42</v>
      </c>
      <c r="D4" s="28" t="s">
        <v>41</v>
      </c>
      <c r="E4" s="28">
        <v>42</v>
      </c>
      <c r="G4" s="28" t="s">
        <v>41</v>
      </c>
      <c r="H4" s="28">
        <v>42</v>
      </c>
    </row>
    <row r="5" spans="1:8" x14ac:dyDescent="0.2">
      <c r="A5" s="29" t="s">
        <v>42</v>
      </c>
      <c r="B5" s="29">
        <v>40</v>
      </c>
      <c r="D5" s="29" t="s">
        <v>42</v>
      </c>
      <c r="E5" s="29">
        <v>40</v>
      </c>
      <c r="G5" s="29" t="s">
        <v>42</v>
      </c>
      <c r="H5" s="29">
        <v>40</v>
      </c>
    </row>
    <row r="6" spans="1:8" x14ac:dyDescent="0.2">
      <c r="A6" s="29" t="s">
        <v>49</v>
      </c>
      <c r="B6" s="29">
        <v>0.1</v>
      </c>
      <c r="D6" s="29" t="s">
        <v>49</v>
      </c>
      <c r="E6" s="29">
        <v>0.1</v>
      </c>
      <c r="G6" s="29" t="s">
        <v>49</v>
      </c>
      <c r="H6" s="29">
        <v>0.1</v>
      </c>
    </row>
    <row r="7" spans="1:8" x14ac:dyDescent="0.2">
      <c r="A7" s="32" t="s">
        <v>43</v>
      </c>
      <c r="B7" s="32">
        <v>0.20007203722566336</v>
      </c>
      <c r="D7" s="32" t="s">
        <v>43</v>
      </c>
      <c r="E7" s="32">
        <v>0.70456475674122832</v>
      </c>
      <c r="G7" s="32" t="s">
        <v>43</v>
      </c>
      <c r="H7" s="32">
        <v>1.1792899090845366</v>
      </c>
    </row>
    <row r="8" spans="1:8" x14ac:dyDescent="0.2">
      <c r="A8" s="29" t="s">
        <v>44</v>
      </c>
      <c r="B8" s="29">
        <v>0.5</v>
      </c>
      <c r="D8" s="29" t="s">
        <v>44</v>
      </c>
      <c r="E8" s="29">
        <v>0.5</v>
      </c>
      <c r="G8" s="29" t="s">
        <v>44</v>
      </c>
      <c r="H8" s="29">
        <v>0.5</v>
      </c>
    </row>
    <row r="9" spans="1:8" x14ac:dyDescent="0.2">
      <c r="A9" s="29" t="s">
        <v>48</v>
      </c>
      <c r="B9" s="29">
        <v>4.76</v>
      </c>
      <c r="D9" s="29" t="s">
        <v>48</v>
      </c>
      <c r="E9" s="29">
        <v>10</v>
      </c>
      <c r="G9" s="29" t="s">
        <v>48</v>
      </c>
      <c r="H9" s="29">
        <v>15</v>
      </c>
    </row>
    <row r="10" spans="1:8" x14ac:dyDescent="0.2">
      <c r="A10" s="85" t="s">
        <v>51</v>
      </c>
      <c r="B10" s="85"/>
      <c r="D10" s="85" t="s">
        <v>52</v>
      </c>
      <c r="E10" s="85"/>
      <c r="G10" s="85" t="s">
        <v>53</v>
      </c>
      <c r="H10" s="85"/>
    </row>
    <row r="11" spans="1:8" x14ac:dyDescent="0.2">
      <c r="A11" s="29" t="s">
        <v>36</v>
      </c>
      <c r="B11" s="29">
        <f>(LN(B4/B5) + (B6 + B7^2/2) * B8) / (B7 * SQRT(B8))</f>
        <v>0.76903657898246081</v>
      </c>
      <c r="D11" s="29" t="s">
        <v>36</v>
      </c>
      <c r="E11" s="29">
        <f>(LN(E4/E5) + (E6 + E7^2/2) * E8) / (E7 * SQRT(E8))</f>
        <v>0.44739444412735069</v>
      </c>
      <c r="G11" s="29" t="s">
        <v>36</v>
      </c>
      <c r="H11" s="29">
        <f>(LN(H4/H5) + (H6 + H7^2/2) * H8) / (H7 * SQRT(H8))</f>
        <v>0.53541187332107543</v>
      </c>
    </row>
    <row r="12" spans="1:8" x14ac:dyDescent="0.2">
      <c r="A12" s="29" t="s">
        <v>37</v>
      </c>
      <c r="B12" s="29">
        <f>B11 - B7 * SQRT(B8)</f>
        <v>0.62756428473438686</v>
      </c>
      <c r="D12" s="29" t="s">
        <v>37</v>
      </c>
      <c r="E12" s="29">
        <f>E11 - E7 * SQRT(E8)</f>
        <v>-5.080807314942215E-2</v>
      </c>
      <c r="G12" s="29" t="s">
        <v>37</v>
      </c>
      <c r="H12" s="29">
        <f>H11 - H7 * SQRT(H8)</f>
        <v>-0.29847201837746751</v>
      </c>
    </row>
    <row r="13" spans="1:8" x14ac:dyDescent="0.2">
      <c r="A13" s="29" t="s">
        <v>45</v>
      </c>
      <c r="B13" s="29">
        <f>_xlfn.NORM.S.DIST(B11,TRUE)</f>
        <v>0.77906420206677796</v>
      </c>
      <c r="D13" s="29" t="s">
        <v>45</v>
      </c>
      <c r="E13" s="30">
        <f>_xlfn.NORM.S.DIST(E11,TRUE)</f>
        <v>0.67270485670874125</v>
      </c>
      <c r="G13" s="29" t="s">
        <v>45</v>
      </c>
      <c r="H13" s="30">
        <f>_xlfn.NORM.S.DIST(H11,TRUE)</f>
        <v>0.70381745919641858</v>
      </c>
    </row>
    <row r="14" spans="1:8" x14ac:dyDescent="0.2">
      <c r="A14" s="29" t="s">
        <v>46</v>
      </c>
      <c r="B14" s="29">
        <f>_xlfn.NORM.S.DIST(B12,TRUE)</f>
        <v>0.73485529422708318</v>
      </c>
      <c r="D14" s="29" t="s">
        <v>46</v>
      </c>
      <c r="E14" s="31">
        <f>_xlfn.NORM.S.DIST(E12,TRUE)</f>
        <v>0.47973922887246828</v>
      </c>
      <c r="G14" s="29" t="s">
        <v>46</v>
      </c>
      <c r="H14" s="31">
        <f>_xlfn.NORM.S.DIST(H12,TRUE)</f>
        <v>0.38267146474321251</v>
      </c>
    </row>
    <row r="15" spans="1:8" x14ac:dyDescent="0.2">
      <c r="A15" s="29" t="s">
        <v>47</v>
      </c>
      <c r="B15" s="29">
        <f>B4 * _xlfn.NORM.S.DIST(B11, TRUE) - B5 * EXP(-B6 * B8) * _xlfn.NORM.S.DIST(B12, TRUE)</f>
        <v>4.7600573420474284</v>
      </c>
      <c r="D15" s="29" t="s">
        <v>47</v>
      </c>
      <c r="E15" s="31">
        <f>E4 * _xlfn.NORM.S.DIST(E11, TRUE) - E5 * EXP(-E6 * E8) * _xlfn.NORM.S.DIST(E12, TRUE)</f>
        <v>9.9999211581361571</v>
      </c>
      <c r="G15" s="29" t="s">
        <v>47</v>
      </c>
      <c r="H15" s="31">
        <f>H4 * _xlfn.NORM.S.DIST(H11, TRUE) - H5 * EXP(-H6 * H8) * _xlfn.NORM.S.DIST(H12, TRUE)</f>
        <v>14.999998999028328</v>
      </c>
    </row>
    <row r="18" spans="1:9" x14ac:dyDescent="0.2">
      <c r="H18" s="33"/>
      <c r="I18" s="33"/>
    </row>
    <row r="23" spans="1:9" x14ac:dyDescent="0.2">
      <c r="A23" s="1"/>
    </row>
    <row r="24" spans="1:9" x14ac:dyDescent="0.2">
      <c r="A24" s="1"/>
    </row>
    <row r="25" spans="1:9" x14ac:dyDescent="0.2">
      <c r="A25" s="1"/>
    </row>
  </sheetData>
  <mergeCells count="7">
    <mergeCell ref="A3:B3"/>
    <mergeCell ref="D3:E3"/>
    <mergeCell ref="G3:H3"/>
    <mergeCell ref="A2:H2"/>
    <mergeCell ref="A10:B10"/>
    <mergeCell ref="D10:E10"/>
    <mergeCell ref="G10:H10"/>
  </mergeCells>
  <pageMargins left="0.7" right="0.7" top="0.75" bottom="0.75" header="0.3" footer="0.3"/>
  <pageSetup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Word.Document.12" shapeId="9217" r:id="rId3">
          <objectPr defaultSize="0" autoPict="0" r:id="rId4">
            <anchor moveWithCells="1">
              <from>
                <xdr:col>0</xdr:col>
                <xdr:colOff>114300</xdr:colOff>
                <xdr:row>15</xdr:row>
                <xdr:rowOff>88900</xdr:rowOff>
              </from>
              <to>
                <xdr:col>6</xdr:col>
                <xdr:colOff>25400</xdr:colOff>
                <xdr:row>19</xdr:row>
                <xdr:rowOff>76200</xdr:rowOff>
              </to>
            </anchor>
          </objectPr>
        </oleObject>
      </mc:Choice>
      <mc:Fallback>
        <oleObject progId="Word.Document.12" shapeId="921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A&amp;B, BSM_Put&amp;Call</vt:lpstr>
      <vt:lpstr>1B) Ameri_Call w Divs RFV</vt:lpstr>
      <vt:lpstr>1C) Euro_$ Option Value BSM</vt:lpstr>
      <vt:lpstr>Implied Volatility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Cheplick</dc:creator>
  <cp:lastModifiedBy>Cheplick, Marissa</cp:lastModifiedBy>
  <dcterms:created xsi:type="dcterms:W3CDTF">2025-11-19T02:42:43Z</dcterms:created>
  <dcterms:modified xsi:type="dcterms:W3CDTF">2026-04-24T02:53:06Z</dcterms:modified>
</cp:coreProperties>
</file>