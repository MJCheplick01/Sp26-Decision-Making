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owner/Documents/UP Courses/D_Mod/"/>
    </mc:Choice>
  </mc:AlternateContent>
  <xr:revisionPtr revIDLastSave="0" documentId="13_ncr:1_{D755707A-DA8A-C042-B1F3-88E1F700064A}" xr6:coauthVersionLast="47" xr6:coauthVersionMax="47" xr10:uidLastSave="{00000000-0000-0000-0000-000000000000}"/>
  <bookViews>
    <workbookView xWindow="10480" yWindow="880" windowWidth="21100" windowHeight="17900" activeTab="1" xr2:uid="{19DC85C6-4F1D-44C4-92FA-B46327078294}"/>
  </bookViews>
  <sheets>
    <sheet name="Shortest Path Problem (2)" sheetId="4" r:id="rId1"/>
    <sheet name="The Dynaco Company Network" sheetId="1" r:id="rId2"/>
  </sheets>
  <definedNames>
    <definedName name="solver_adj" localSheetId="0" hidden="1">'Shortest Path Problem (2)'!$H$4:$S$4</definedName>
    <definedName name="solver_adj" localSheetId="1" hidden="1">'The Dynaco Company Network'!$E$15:$E$30</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ng" localSheetId="0" hidden="1">2</definedName>
    <definedName name="solver_eng" localSheetId="1" hidden="1">2</definedName>
    <definedName name="solver_itr" localSheetId="0" hidden="1">2147483647</definedName>
    <definedName name="solver_itr" localSheetId="1" hidden="1">2147483647</definedName>
    <definedName name="solver_lhs1" localSheetId="0" hidden="1">'Shortest Path Problem (2)'!$H$10:$H$16</definedName>
    <definedName name="solver_lhs1" localSheetId="1" hidden="1">'The Dynaco Company Network'!$E$15:$E$30</definedName>
    <definedName name="solver_lhs2" localSheetId="0" hidden="1">'Shortest Path Problem (2)'!$H$4:$S$4</definedName>
    <definedName name="solver_lhs2" localSheetId="1" hidden="1">'The Dynaco Company Network'!$H$15:$H$23</definedName>
    <definedName name="solver_lin" localSheetId="0" hidden="1">1</definedName>
    <definedName name="solver_lin" localSheetId="1" hidden="1">1</definedName>
    <definedName name="solver_mip" localSheetId="0" hidden="1">2147483647</definedName>
    <definedName name="solver_mip" localSheetId="1" hidden="1">2147483647</definedName>
    <definedName name="solver_mni" localSheetId="0" hidden="1">30</definedName>
    <definedName name="solver_mni" localSheetId="1" hidden="1">30</definedName>
    <definedName name="solver_mrt" localSheetId="0" hidden="1">0.075</definedName>
    <definedName name="solver_mrt" localSheetId="1" hidden="1">0.075</definedName>
    <definedName name="solver_msl" localSheetId="0" hidden="1">2</definedName>
    <definedName name="solver_msl" localSheetId="1" hidden="1">2</definedName>
    <definedName name="solver_neg" localSheetId="0" hidden="1">1</definedName>
    <definedName name="solver_neg" localSheetId="1" hidden="1">1</definedName>
    <definedName name="solver_nod" localSheetId="0" hidden="1">2147483647</definedName>
    <definedName name="solver_nod" localSheetId="1" hidden="1">2147483647</definedName>
    <definedName name="solver_num" localSheetId="0" hidden="1">2</definedName>
    <definedName name="solver_num" localSheetId="1" hidden="1">2</definedName>
    <definedName name="solver_opt" localSheetId="0" hidden="1">'Shortest Path Problem (2)'!$H$7</definedName>
    <definedName name="solver_opt" localSheetId="1" hidden="1">'The Dynaco Company Network'!$E$32</definedName>
    <definedName name="solver_pre" localSheetId="0" hidden="1">0.000001</definedName>
    <definedName name="solver_pre" localSheetId="1" hidden="1">0.000001</definedName>
    <definedName name="solver_rbv" localSheetId="0" hidden="1">1</definedName>
    <definedName name="solver_rbv" localSheetId="1" hidden="1">1</definedName>
    <definedName name="solver_rel1" localSheetId="0" hidden="1">2</definedName>
    <definedName name="solver_rel1" localSheetId="1" hidden="1">1</definedName>
    <definedName name="solver_rel2" localSheetId="0" hidden="1">5</definedName>
    <definedName name="solver_rel2" localSheetId="1" hidden="1">2</definedName>
    <definedName name="solver_rhs1" localSheetId="0" hidden="1">'Shortest Path Problem (2)'!$J$10:$J$16</definedName>
    <definedName name="solver_rhs1" localSheetId="1" hidden="1">'The Dynaco Company Network'!$F$15:$F$30</definedName>
    <definedName name="solver_rhs2" localSheetId="0" hidden="1">"binary"</definedName>
    <definedName name="solver_rhs2" localSheetId="1" hidden="1">'The Dynaco Company Network'!$J$15:$J$23</definedName>
    <definedName name="solver_rlx" localSheetId="0" hidden="1">2</definedName>
    <definedName name="solver_rlx" localSheetId="1" hidden="1">2</definedName>
    <definedName name="solver_rsd" localSheetId="0" hidden="1">0</definedName>
    <definedName name="solver_rsd" localSheetId="1" hidden="1">0</definedName>
    <definedName name="solver_scl" localSheetId="0" hidden="1">1</definedName>
    <definedName name="solver_scl" localSheetId="1" hidden="1">2</definedName>
    <definedName name="solver_sho" localSheetId="0" hidden="1">2</definedName>
    <definedName name="solver_sho" localSheetId="1" hidden="1">2</definedName>
    <definedName name="solver_ssz" localSheetId="0" hidden="1">100</definedName>
    <definedName name="solver_ssz" localSheetId="1" hidden="1">100</definedName>
    <definedName name="solver_tim" localSheetId="0" hidden="1">2147483647</definedName>
    <definedName name="solver_tim" localSheetId="1" hidden="1">2147483647</definedName>
    <definedName name="solver_tol" localSheetId="0" hidden="1">0.01</definedName>
    <definedName name="solver_tol" localSheetId="1" hidden="1">0.01</definedName>
    <definedName name="solver_typ" localSheetId="0" hidden="1">2</definedName>
    <definedName name="solver_typ" localSheetId="1" hidden="1">1</definedName>
    <definedName name="solver_val" localSheetId="0" hidden="1">0</definedName>
    <definedName name="solver_val" localSheetId="1" hidden="1">0</definedName>
    <definedName name="solver_ver" localSheetId="0" hidden="1">2</definedName>
    <definedName name="solver_ver" localSheetId="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0" i="4" l="1"/>
  <c r="C25" i="4"/>
  <c r="C21" i="4"/>
  <c r="H16" i="4"/>
  <c r="J15" i="4"/>
  <c r="H15" i="4"/>
  <c r="J14" i="4"/>
  <c r="H14" i="4"/>
  <c r="C14" i="4"/>
  <c r="J13" i="4"/>
  <c r="H13" i="4"/>
  <c r="J12" i="4"/>
  <c r="H12" i="4"/>
  <c r="J11" i="4"/>
  <c r="H11" i="4"/>
  <c r="H10" i="4"/>
  <c r="H7" i="4"/>
  <c r="C7" i="4"/>
  <c r="C4" i="4"/>
  <c r="J32" i="1"/>
  <c r="J16" i="1"/>
  <c r="H16" i="1"/>
  <c r="J15" i="1"/>
  <c r="E32" i="1"/>
  <c r="J23" i="1"/>
  <c r="H23" i="1"/>
  <c r="J22" i="1"/>
  <c r="H22" i="1"/>
  <c r="J21" i="1"/>
  <c r="H21" i="1"/>
  <c r="J20" i="1"/>
  <c r="H20" i="1"/>
  <c r="J19" i="1"/>
  <c r="H19" i="1"/>
  <c r="J18" i="1"/>
  <c r="H18" i="1"/>
  <c r="J17" i="1"/>
  <c r="H17" i="1"/>
  <c r="H15" i="1"/>
</calcChain>
</file>

<file path=xl/sharedStrings.xml><?xml version="1.0" encoding="utf-8"?>
<sst xmlns="http://schemas.openxmlformats.org/spreadsheetml/2006/main" count="102" uniqueCount="75">
  <si>
    <t>The Dynaco Company manufactures a product in five stages. Each stage of the manufacturing process is conducted at a different plant. The following network shows the five different stages  (represented by nodes) and the routes over which the partially completed products are shipped to the various plants at the different stages (represented by branches connecting the nodes). Stage 5 (node 10) is the distribution center where final products are stored. Although each node represents a different plant, plants at the same stage perform the same operation. For example, at stage 2 of the manufacturing process, plants 2, 3, and 4 all perform the same manufacturing operation. The values accompanying the branches indicate the maximum number of units that a particular plant can produce and ship to another plant at the next stage (forward capacity).  Determine the maximum number of units that can be processed through the five-stage manufacturing process and the number of units processed at each plant.</t>
  </si>
  <si>
    <t>Each plant also incurs a processing cost per unit due to differences in machinery, worker abilities, overhead, and so on.  Dynaco has a limited budget for processing. Dynaco wants to determine the maximum number of units that can be produced and shipped from the beginning of the production process (Stage 1) to the distribution center (Stage 5, node 10) while staying within a budget of $700,000 for processing costs. They need to decide how many units to produce and ship along each arc in the network, respecting the capacity constraints on each branch and the overall budget constraint.</t>
  </si>
  <si>
    <t>Stage 1</t>
  </si>
  <si>
    <t>Stage 2</t>
  </si>
  <si>
    <t>Node 1</t>
  </si>
  <si>
    <t>Node 2</t>
  </si>
  <si>
    <t>Node 3</t>
  </si>
  <si>
    <t>Node 4</t>
  </si>
  <si>
    <t>Stage 3</t>
  </si>
  <si>
    <t>Node 5.</t>
  </si>
  <si>
    <t>Node 6.</t>
  </si>
  <si>
    <t>Stage 4</t>
  </si>
  <si>
    <t>Node 7.</t>
  </si>
  <si>
    <t>Node 8.</t>
  </si>
  <si>
    <t>Node 9.</t>
  </si>
  <si>
    <t>From Node</t>
  </si>
  <si>
    <t>To Node</t>
  </si>
  <si>
    <t>Optimal Flow</t>
  </si>
  <si>
    <t>Max Capacity</t>
  </si>
  <si>
    <t>Constraints (inflow=Outflow)</t>
  </si>
  <si>
    <t>MaxFlow</t>
  </si>
  <si>
    <t>Cannot Exceed collection capacity</t>
  </si>
  <si>
    <t>Additiolnal Constraints is on Max capacity (e.g: G17&lt;=H17)</t>
  </si>
  <si>
    <t>=</t>
  </si>
  <si>
    <t>Node</t>
  </si>
  <si>
    <t>Costs</t>
  </si>
  <si>
    <t>Permanent Node Set</t>
  </si>
  <si>
    <t>{1}</t>
  </si>
  <si>
    <t>1-2:16</t>
  </si>
  <si>
    <t>Constraints</t>
  </si>
  <si>
    <t>x12</t>
  </si>
  <si>
    <t>x13</t>
  </si>
  <si>
    <t>x14</t>
  </si>
  <si>
    <t>x24</t>
  </si>
  <si>
    <t>x25</t>
  </si>
  <si>
    <t>x34</t>
  </si>
  <si>
    <t>x36</t>
  </si>
  <si>
    <t>x45</t>
  </si>
  <si>
    <t>x46</t>
  </si>
  <si>
    <t>x47</t>
  </si>
  <si>
    <t>x57</t>
  </si>
  <si>
    <t>x67</t>
  </si>
  <si>
    <t>1-4:35</t>
  </si>
  <si>
    <t>x12+x13+x14=1</t>
  </si>
  <si>
    <t>1-3:09</t>
  </si>
  <si>
    <t>Minimization</t>
  </si>
  <si>
    <t>{1,3}</t>
  </si>
  <si>
    <t>1-3-4:24</t>
  </si>
  <si>
    <t>1-3-6:31</t>
  </si>
  <si>
    <t>Source to next node x12+x13+x14</t>
  </si>
  <si>
    <t>node if x12+x24, x25</t>
  </si>
  <si>
    <t>{1,2,3}</t>
  </si>
  <si>
    <t>1-2-5:40</t>
  </si>
  <si>
    <t>input path- output path= 0 (through 4)</t>
  </si>
  <si>
    <t>1-4: 35</t>
  </si>
  <si>
    <t>input path- output path= 0 (through 3)</t>
  </si>
  <si>
    <t>1-3-4: 24</t>
  </si>
  <si>
    <t>input path- output path= 0 (through 5)</t>
  </si>
  <si>
    <t>1-3-6: 31</t>
  </si>
  <si>
    <t>input path- output path= 0 (through 6)</t>
  </si>
  <si>
    <t>Destination path</t>
  </si>
  <si>
    <t>{1,2,3,4}</t>
  </si>
  <si>
    <t>1-2-5: 41</t>
  </si>
  <si>
    <t>1-3-4-5: 38</t>
  </si>
  <si>
    <t>1-3-4-7: 43</t>
  </si>
  <si>
    <t>1-3-4-6: 45</t>
  </si>
  <si>
    <t>{1,2,3,4,6}</t>
  </si>
  <si>
    <t>1-2-5:41</t>
  </si>
  <si>
    <t>1-3-4-5:38</t>
  </si>
  <si>
    <t>1-3-6-7:44</t>
  </si>
  <si>
    <t>{1,2,3,4,5,6}</t>
  </si>
  <si>
    <t>1-3-4-5-7: 46</t>
  </si>
  <si>
    <t>1-3-4-7:43</t>
  </si>
  <si>
    <t>1-3-6-6:44</t>
  </si>
  <si>
    <t>{1,2,3,4,5,6,7}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</si>
</sst>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x14ac:knownFonts="1">
    <font>
      <sz val="11"/>
      <color theme="1"/>
      <name val="Calibri"/>
      <family val="2"/>
      <scheme val="minor"/>
    </font>
    <font>
      <b/>
      <sz val="11"/>
      <color theme="1"/>
      <name val="Calibri"/>
      <family val="2"/>
      <scheme val="minor"/>
    </font>
    <font>
      <sz val="16"/>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6" fontId="0" fillId="0" borderId="7" xfId="0" applyNumberFormat="1" applyBorder="1"/>
    <xf numFmtId="0" fontId="0" fillId="3" borderId="7" xfId="0" applyFill="1" applyBorder="1"/>
    <xf numFmtId="2" fontId="0" fillId="0" borderId="0" xfId="0" applyNumberFormat="1"/>
    <xf numFmtId="0" fontId="0" fillId="0" borderId="0" xfId="0" applyAlignment="1">
      <alignment wrapText="1"/>
    </xf>
    <xf numFmtId="0" fontId="1" fillId="0" borderId="0" xfId="0" applyFont="1"/>
    <xf numFmtId="0" fontId="1" fillId="2" borderId="0" xfId="0" applyFont="1" applyFill="1"/>
    <xf numFmtId="6" fontId="0" fillId="0" borderId="0" xfId="0" applyNumberFormat="1"/>
    <xf numFmtId="0" fontId="0" fillId="3" borderId="8" xfId="0" applyFill="1" applyBorder="1"/>
    <xf numFmtId="0" fontId="1" fillId="0" borderId="7" xfId="0" applyFont="1" applyBorder="1"/>
    <xf numFmtId="0" fontId="1" fillId="0" borderId="7" xfId="0" applyFont="1" applyBorder="1" applyAlignment="1">
      <alignment horizontal="center"/>
    </xf>
    <xf numFmtId="0" fontId="0" fillId="4" borderId="0" xfId="0" applyFill="1"/>
    <xf numFmtId="0" fontId="3" fillId="0" borderId="0" xfId="0" applyFont="1"/>
    <xf numFmtId="0" fontId="1" fillId="5" borderId="0" xfId="0" applyFont="1" applyFill="1"/>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3" xfId="0" applyFont="1" applyBorder="1" applyAlignment="1">
      <alignment horizontal="left" wrapText="1"/>
    </xf>
    <xf numFmtId="0" fontId="1"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353981</xdr:colOff>
      <xdr:row>30</xdr:row>
      <xdr:rowOff>62205</xdr:rowOff>
    </xdr:from>
    <xdr:to>
      <xdr:col>10</xdr:col>
      <xdr:colOff>350871</xdr:colOff>
      <xdr:row>33</xdr:row>
      <xdr:rowOff>115856</xdr:rowOff>
    </xdr:to>
    <xdr:sp macro="" textlink="">
      <xdr:nvSpPr>
        <xdr:cNvPr id="2" name="Oval 1">
          <a:extLst>
            <a:ext uri="{FF2B5EF4-FFF2-40B4-BE49-F238E27FC236}">
              <a16:creationId xmlns:a16="http://schemas.microsoft.com/office/drawing/2014/main" id="{1AFE3973-1136-E84E-8B04-67BD376BBB9D}"/>
            </a:ext>
          </a:extLst>
        </xdr:cNvPr>
        <xdr:cNvSpPr/>
      </xdr:nvSpPr>
      <xdr:spPr>
        <a:xfrm>
          <a:off x="7935881" y="5789905"/>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3</a:t>
          </a:r>
        </a:p>
      </xdr:txBody>
    </xdr:sp>
    <xdr:clientData/>
  </xdr:twoCellAnchor>
  <xdr:twoCellAnchor>
    <xdr:from>
      <xdr:col>6</xdr:col>
      <xdr:colOff>47625</xdr:colOff>
      <xdr:row>22</xdr:row>
      <xdr:rowOff>14167</xdr:rowOff>
    </xdr:from>
    <xdr:to>
      <xdr:col>7</xdr:col>
      <xdr:colOff>44515</xdr:colOff>
      <xdr:row>25</xdr:row>
      <xdr:rowOff>67818</xdr:rowOff>
    </xdr:to>
    <xdr:sp macro="" textlink="">
      <xdr:nvSpPr>
        <xdr:cNvPr id="3" name="Oval 2">
          <a:extLst>
            <a:ext uri="{FF2B5EF4-FFF2-40B4-BE49-F238E27FC236}">
              <a16:creationId xmlns:a16="http://schemas.microsoft.com/office/drawing/2014/main" id="{2BD37B84-3583-9F4B-8104-33D65901835D}"/>
            </a:ext>
          </a:extLst>
        </xdr:cNvPr>
        <xdr:cNvSpPr/>
      </xdr:nvSpPr>
      <xdr:spPr>
        <a:xfrm>
          <a:off x="3781425" y="4217867"/>
          <a:ext cx="23590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1</a:t>
          </a:r>
        </a:p>
      </xdr:txBody>
    </xdr:sp>
    <xdr:clientData/>
  </xdr:twoCellAnchor>
  <xdr:twoCellAnchor>
    <xdr:from>
      <xdr:col>10</xdr:col>
      <xdr:colOff>47626</xdr:colOff>
      <xdr:row>15</xdr:row>
      <xdr:rowOff>13390</xdr:rowOff>
    </xdr:from>
    <xdr:to>
      <xdr:col>11</xdr:col>
      <xdr:colOff>44516</xdr:colOff>
      <xdr:row>18</xdr:row>
      <xdr:rowOff>67041</xdr:rowOff>
    </xdr:to>
    <xdr:sp macro="" textlink="">
      <xdr:nvSpPr>
        <xdr:cNvPr id="4" name="Oval 3">
          <a:extLst>
            <a:ext uri="{FF2B5EF4-FFF2-40B4-BE49-F238E27FC236}">
              <a16:creationId xmlns:a16="http://schemas.microsoft.com/office/drawing/2014/main" id="{F1BB4537-6277-DA4B-9CCA-FCDCBA6E5011}"/>
            </a:ext>
          </a:extLst>
        </xdr:cNvPr>
        <xdr:cNvSpPr/>
      </xdr:nvSpPr>
      <xdr:spPr>
        <a:xfrm>
          <a:off x="8302626" y="2883590"/>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2</a:t>
          </a:r>
        </a:p>
      </xdr:txBody>
    </xdr:sp>
    <xdr:clientData/>
  </xdr:twoCellAnchor>
  <xdr:twoCellAnchor>
    <xdr:from>
      <xdr:col>13</xdr:col>
      <xdr:colOff>545258</xdr:colOff>
      <xdr:row>22</xdr:row>
      <xdr:rowOff>14167</xdr:rowOff>
    </xdr:from>
    <xdr:to>
      <xdr:col>14</xdr:col>
      <xdr:colOff>542148</xdr:colOff>
      <xdr:row>25</xdr:row>
      <xdr:rowOff>67818</xdr:rowOff>
    </xdr:to>
    <xdr:sp macro="" textlink="">
      <xdr:nvSpPr>
        <xdr:cNvPr id="5" name="Oval 4">
          <a:extLst>
            <a:ext uri="{FF2B5EF4-FFF2-40B4-BE49-F238E27FC236}">
              <a16:creationId xmlns:a16="http://schemas.microsoft.com/office/drawing/2014/main" id="{F9989F67-4263-DC48-A1FA-65BBD5D6BF25}"/>
            </a:ext>
          </a:extLst>
        </xdr:cNvPr>
        <xdr:cNvSpPr/>
      </xdr:nvSpPr>
      <xdr:spPr>
        <a:xfrm>
          <a:off x="10819558" y="4217867"/>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4</a:t>
          </a:r>
        </a:p>
      </xdr:txBody>
    </xdr:sp>
    <xdr:clientData/>
  </xdr:twoCellAnchor>
  <xdr:twoCellAnchor>
    <xdr:from>
      <xdr:col>16</xdr:col>
      <xdr:colOff>464393</xdr:colOff>
      <xdr:row>14</xdr:row>
      <xdr:rowOff>114300</xdr:rowOff>
    </xdr:from>
    <xdr:to>
      <xdr:col>17</xdr:col>
      <xdr:colOff>461283</xdr:colOff>
      <xdr:row>17</xdr:row>
      <xdr:rowOff>167951</xdr:rowOff>
    </xdr:to>
    <xdr:sp macro="" textlink="">
      <xdr:nvSpPr>
        <xdr:cNvPr id="6" name="Oval 5">
          <a:extLst>
            <a:ext uri="{FF2B5EF4-FFF2-40B4-BE49-F238E27FC236}">
              <a16:creationId xmlns:a16="http://schemas.microsoft.com/office/drawing/2014/main" id="{C665F8EE-BBA8-4D43-AAEB-44E7F9DCAE01}"/>
            </a:ext>
          </a:extLst>
        </xdr:cNvPr>
        <xdr:cNvSpPr/>
      </xdr:nvSpPr>
      <xdr:spPr>
        <a:xfrm>
          <a:off x="12757993" y="2794000"/>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5</a:t>
          </a:r>
        </a:p>
      </xdr:txBody>
    </xdr:sp>
    <xdr:clientData/>
  </xdr:twoCellAnchor>
  <xdr:twoCellAnchor>
    <xdr:from>
      <xdr:col>18</xdr:col>
      <xdr:colOff>554976</xdr:colOff>
      <xdr:row>20</xdr:row>
      <xdr:rowOff>147735</xdr:rowOff>
    </xdr:from>
    <xdr:to>
      <xdr:col>19</xdr:col>
      <xdr:colOff>551866</xdr:colOff>
      <xdr:row>24</xdr:row>
      <xdr:rowOff>10886</xdr:rowOff>
    </xdr:to>
    <xdr:sp macro="" textlink="">
      <xdr:nvSpPr>
        <xdr:cNvPr id="7" name="Oval 6">
          <a:extLst>
            <a:ext uri="{FF2B5EF4-FFF2-40B4-BE49-F238E27FC236}">
              <a16:creationId xmlns:a16="http://schemas.microsoft.com/office/drawing/2014/main" id="{C8446761-4D85-D046-B8DE-53D0830D664E}"/>
            </a:ext>
          </a:extLst>
        </xdr:cNvPr>
        <xdr:cNvSpPr/>
      </xdr:nvSpPr>
      <xdr:spPr>
        <a:xfrm>
          <a:off x="14194776" y="3970435"/>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7</a:t>
          </a:r>
        </a:p>
      </xdr:txBody>
    </xdr:sp>
    <xdr:clientData/>
  </xdr:twoCellAnchor>
  <xdr:twoCellAnchor>
    <xdr:from>
      <xdr:col>16</xdr:col>
      <xdr:colOff>489275</xdr:colOff>
      <xdr:row>28</xdr:row>
      <xdr:rowOff>139182</xdr:rowOff>
    </xdr:from>
    <xdr:to>
      <xdr:col>17</xdr:col>
      <xdr:colOff>486165</xdr:colOff>
      <xdr:row>32</xdr:row>
      <xdr:rowOff>2333</xdr:rowOff>
    </xdr:to>
    <xdr:sp macro="" textlink="">
      <xdr:nvSpPr>
        <xdr:cNvPr id="8" name="Oval 7">
          <a:extLst>
            <a:ext uri="{FF2B5EF4-FFF2-40B4-BE49-F238E27FC236}">
              <a16:creationId xmlns:a16="http://schemas.microsoft.com/office/drawing/2014/main" id="{350523B6-AA24-8A42-8FD5-262222BDB79B}"/>
            </a:ext>
          </a:extLst>
        </xdr:cNvPr>
        <xdr:cNvSpPr/>
      </xdr:nvSpPr>
      <xdr:spPr>
        <a:xfrm>
          <a:off x="12782875" y="5485882"/>
          <a:ext cx="669990" cy="6251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6</a:t>
          </a:r>
        </a:p>
      </xdr:txBody>
    </xdr:sp>
    <xdr:clientData/>
  </xdr:twoCellAnchor>
  <xdr:twoCellAnchor>
    <xdr:from>
      <xdr:col>6</xdr:col>
      <xdr:colOff>565297</xdr:colOff>
      <xdr:row>17</xdr:row>
      <xdr:rowOff>165990</xdr:rowOff>
    </xdr:from>
    <xdr:to>
      <xdr:col>10</xdr:col>
      <xdr:colOff>136444</xdr:colOff>
      <xdr:row>22</xdr:row>
      <xdr:rowOff>105718</xdr:rowOff>
    </xdr:to>
    <xdr:cxnSp macro="">
      <xdr:nvCxnSpPr>
        <xdr:cNvPr id="9" name="Straight Connector 8">
          <a:extLst>
            <a:ext uri="{FF2B5EF4-FFF2-40B4-BE49-F238E27FC236}">
              <a16:creationId xmlns:a16="http://schemas.microsoft.com/office/drawing/2014/main" id="{286EDC5D-1097-0247-96B6-E8F2CB2BA7F1}"/>
            </a:ext>
          </a:extLst>
        </xdr:cNvPr>
        <xdr:cNvCxnSpPr>
          <a:cxnSpLocks/>
          <a:stCxn id="3" idx="7"/>
          <a:endCxn id="4" idx="3"/>
        </xdr:cNvCxnSpPr>
      </xdr:nvCxnSpPr>
      <xdr:spPr>
        <a:xfrm flipV="1">
          <a:off x="4299097" y="3417190"/>
          <a:ext cx="4092347" cy="89222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44515</xdr:colOff>
      <xdr:row>23</xdr:row>
      <xdr:rowOff>136243</xdr:rowOff>
    </xdr:from>
    <xdr:to>
      <xdr:col>13</xdr:col>
      <xdr:colOff>545258</xdr:colOff>
      <xdr:row>23</xdr:row>
      <xdr:rowOff>136243</xdr:rowOff>
    </xdr:to>
    <xdr:cxnSp macro="">
      <xdr:nvCxnSpPr>
        <xdr:cNvPr id="10" name="Straight Connector 9">
          <a:extLst>
            <a:ext uri="{FF2B5EF4-FFF2-40B4-BE49-F238E27FC236}">
              <a16:creationId xmlns:a16="http://schemas.microsoft.com/office/drawing/2014/main" id="{50CDB7DD-0431-824E-8F6B-818A621B61E6}"/>
            </a:ext>
          </a:extLst>
        </xdr:cNvPr>
        <xdr:cNvCxnSpPr>
          <a:cxnSpLocks/>
          <a:stCxn id="3" idx="6"/>
          <a:endCxn id="5" idx="2"/>
        </xdr:cNvCxnSpPr>
      </xdr:nvCxnSpPr>
      <xdr:spPr>
        <a:xfrm>
          <a:off x="6140515" y="4530443"/>
          <a:ext cx="4679043" cy="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565297</xdr:colOff>
      <xdr:row>24</xdr:row>
      <xdr:rowOff>166767</xdr:rowOff>
    </xdr:from>
    <xdr:to>
      <xdr:col>9</xdr:col>
      <xdr:colOff>532430</xdr:colOff>
      <xdr:row>32</xdr:row>
      <xdr:rowOff>86309</xdr:rowOff>
    </xdr:to>
    <xdr:cxnSp macro="">
      <xdr:nvCxnSpPr>
        <xdr:cNvPr id="11" name="Straight Connector 10">
          <a:extLst>
            <a:ext uri="{FF2B5EF4-FFF2-40B4-BE49-F238E27FC236}">
              <a16:creationId xmlns:a16="http://schemas.microsoft.com/office/drawing/2014/main" id="{1358723A-1912-B641-BB52-7473E30BA35F}"/>
            </a:ext>
          </a:extLst>
        </xdr:cNvPr>
        <xdr:cNvCxnSpPr>
          <a:cxnSpLocks/>
          <a:stCxn id="3" idx="5"/>
        </xdr:cNvCxnSpPr>
      </xdr:nvCxnSpPr>
      <xdr:spPr>
        <a:xfrm>
          <a:off x="4299097" y="4751467"/>
          <a:ext cx="3815233" cy="1443542"/>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565298</xdr:colOff>
      <xdr:row>17</xdr:row>
      <xdr:rowOff>165990</xdr:rowOff>
    </xdr:from>
    <xdr:to>
      <xdr:col>14</xdr:col>
      <xdr:colOff>24476</xdr:colOff>
      <xdr:row>22</xdr:row>
      <xdr:rowOff>105718</xdr:rowOff>
    </xdr:to>
    <xdr:cxnSp macro="">
      <xdr:nvCxnSpPr>
        <xdr:cNvPr id="12" name="Straight Connector 11">
          <a:extLst>
            <a:ext uri="{FF2B5EF4-FFF2-40B4-BE49-F238E27FC236}">
              <a16:creationId xmlns:a16="http://schemas.microsoft.com/office/drawing/2014/main" id="{0E2484FF-3BD0-1047-B6E9-45F5AE4DFA99}"/>
            </a:ext>
          </a:extLst>
        </xdr:cNvPr>
        <xdr:cNvCxnSpPr>
          <a:cxnSpLocks/>
          <a:stCxn id="5" idx="1"/>
          <a:endCxn id="4" idx="5"/>
        </xdr:cNvCxnSpPr>
      </xdr:nvCxnSpPr>
      <xdr:spPr>
        <a:xfrm flipH="1" flipV="1">
          <a:off x="8820298" y="3417190"/>
          <a:ext cx="2151578" cy="89222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44516</xdr:colOff>
      <xdr:row>16</xdr:row>
      <xdr:rowOff>45876</xdr:rowOff>
    </xdr:from>
    <xdr:to>
      <xdr:col>16</xdr:col>
      <xdr:colOff>464393</xdr:colOff>
      <xdr:row>16</xdr:row>
      <xdr:rowOff>135466</xdr:rowOff>
    </xdr:to>
    <xdr:cxnSp macro="">
      <xdr:nvCxnSpPr>
        <xdr:cNvPr id="13" name="Straight Connector 12">
          <a:extLst>
            <a:ext uri="{FF2B5EF4-FFF2-40B4-BE49-F238E27FC236}">
              <a16:creationId xmlns:a16="http://schemas.microsoft.com/office/drawing/2014/main" id="{4A96C9CE-B40C-2D4E-86A2-CD5D3183C121}"/>
            </a:ext>
          </a:extLst>
        </xdr:cNvPr>
        <xdr:cNvCxnSpPr>
          <a:cxnSpLocks/>
          <a:stCxn id="6" idx="2"/>
          <a:endCxn id="4" idx="6"/>
        </xdr:cNvCxnSpPr>
      </xdr:nvCxnSpPr>
      <xdr:spPr>
        <a:xfrm flipH="1">
          <a:off x="8972616" y="3106576"/>
          <a:ext cx="3785377" cy="8959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453330</xdr:colOff>
      <xdr:row>17</xdr:row>
      <xdr:rowOff>76400</xdr:rowOff>
    </xdr:from>
    <xdr:to>
      <xdr:col>16</xdr:col>
      <xdr:colOff>553211</xdr:colOff>
      <xdr:row>22</xdr:row>
      <xdr:rowOff>105718</xdr:rowOff>
    </xdr:to>
    <xdr:cxnSp macro="">
      <xdr:nvCxnSpPr>
        <xdr:cNvPr id="14" name="Straight Connector 13">
          <a:extLst>
            <a:ext uri="{FF2B5EF4-FFF2-40B4-BE49-F238E27FC236}">
              <a16:creationId xmlns:a16="http://schemas.microsoft.com/office/drawing/2014/main" id="{6ECE0A61-6587-0242-B4D6-6E81CF9B862B}"/>
            </a:ext>
          </a:extLst>
        </xdr:cNvPr>
        <xdr:cNvCxnSpPr>
          <a:cxnSpLocks/>
          <a:stCxn id="5" idx="7"/>
          <a:endCxn id="6" idx="3"/>
        </xdr:cNvCxnSpPr>
      </xdr:nvCxnSpPr>
      <xdr:spPr>
        <a:xfrm flipV="1">
          <a:off x="11400730" y="3327600"/>
          <a:ext cx="1446081" cy="98181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372465</xdr:colOff>
      <xdr:row>16</xdr:row>
      <xdr:rowOff>76400</xdr:rowOff>
    </xdr:from>
    <xdr:to>
      <xdr:col>19</xdr:col>
      <xdr:colOff>34194</xdr:colOff>
      <xdr:row>21</xdr:row>
      <xdr:rowOff>48786</xdr:rowOff>
    </xdr:to>
    <xdr:cxnSp macro="">
      <xdr:nvCxnSpPr>
        <xdr:cNvPr id="15" name="Straight Connector 14">
          <a:extLst>
            <a:ext uri="{FF2B5EF4-FFF2-40B4-BE49-F238E27FC236}">
              <a16:creationId xmlns:a16="http://schemas.microsoft.com/office/drawing/2014/main" id="{3017D583-5AEB-8F4A-8991-8E7C7AFC2496}"/>
            </a:ext>
          </a:extLst>
        </xdr:cNvPr>
        <xdr:cNvCxnSpPr>
          <a:cxnSpLocks/>
          <a:stCxn id="7" idx="1"/>
          <a:endCxn id="6" idx="5"/>
        </xdr:cNvCxnSpPr>
      </xdr:nvCxnSpPr>
      <xdr:spPr>
        <a:xfrm flipH="1" flipV="1">
          <a:off x="13339165" y="3137100"/>
          <a:ext cx="1007929" cy="924886"/>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402448</xdr:colOff>
      <xdr:row>23</xdr:row>
      <xdr:rowOff>38100</xdr:rowOff>
    </xdr:from>
    <xdr:to>
      <xdr:col>19</xdr:col>
      <xdr:colOff>88900</xdr:colOff>
      <xdr:row>23</xdr:row>
      <xdr:rowOff>148943</xdr:rowOff>
    </xdr:to>
    <xdr:cxnSp macro="">
      <xdr:nvCxnSpPr>
        <xdr:cNvPr id="16" name="Straight Connector 15">
          <a:extLst>
            <a:ext uri="{FF2B5EF4-FFF2-40B4-BE49-F238E27FC236}">
              <a16:creationId xmlns:a16="http://schemas.microsoft.com/office/drawing/2014/main" id="{2C7B4AD8-0918-024D-A96D-BAB121E5F60F}"/>
            </a:ext>
          </a:extLst>
        </xdr:cNvPr>
        <xdr:cNvCxnSpPr>
          <a:cxnSpLocks/>
        </xdr:cNvCxnSpPr>
      </xdr:nvCxnSpPr>
      <xdr:spPr>
        <a:xfrm flipH="1">
          <a:off x="11349848" y="4432300"/>
          <a:ext cx="3051952" cy="110843"/>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325471</xdr:colOff>
      <xdr:row>23</xdr:row>
      <xdr:rowOff>128667</xdr:rowOff>
    </xdr:from>
    <xdr:to>
      <xdr:col>13</xdr:col>
      <xdr:colOff>672176</xdr:colOff>
      <xdr:row>31</xdr:row>
      <xdr:rowOff>146181</xdr:rowOff>
    </xdr:to>
    <xdr:cxnSp macro="">
      <xdr:nvCxnSpPr>
        <xdr:cNvPr id="17" name="Straight Connector 16">
          <a:extLst>
            <a:ext uri="{FF2B5EF4-FFF2-40B4-BE49-F238E27FC236}">
              <a16:creationId xmlns:a16="http://schemas.microsoft.com/office/drawing/2014/main" id="{2BDBC3BE-16CF-6C4B-B37E-353AED2EFD0C}"/>
            </a:ext>
          </a:extLst>
        </xdr:cNvPr>
        <xdr:cNvCxnSpPr>
          <a:cxnSpLocks/>
        </xdr:cNvCxnSpPr>
      </xdr:nvCxnSpPr>
      <xdr:spPr>
        <a:xfrm flipV="1">
          <a:off x="8580471" y="4522867"/>
          <a:ext cx="2366005" cy="1541514"/>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173153</xdr:colOff>
      <xdr:row>30</xdr:row>
      <xdr:rowOff>165100</xdr:rowOff>
    </xdr:from>
    <xdr:to>
      <xdr:col>16</xdr:col>
      <xdr:colOff>622300</xdr:colOff>
      <xdr:row>33</xdr:row>
      <xdr:rowOff>37005</xdr:rowOff>
    </xdr:to>
    <xdr:cxnSp macro="">
      <xdr:nvCxnSpPr>
        <xdr:cNvPr id="18" name="Straight Connector 17">
          <a:extLst>
            <a:ext uri="{FF2B5EF4-FFF2-40B4-BE49-F238E27FC236}">
              <a16:creationId xmlns:a16="http://schemas.microsoft.com/office/drawing/2014/main" id="{7122DF42-6CB0-304C-9384-7F1FA9CCB482}"/>
            </a:ext>
          </a:extLst>
        </xdr:cNvPr>
        <xdr:cNvCxnSpPr>
          <a:cxnSpLocks/>
        </xdr:cNvCxnSpPr>
      </xdr:nvCxnSpPr>
      <xdr:spPr>
        <a:xfrm flipV="1">
          <a:off x="8428153" y="5892800"/>
          <a:ext cx="4487747" cy="443405"/>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397347</xdr:colOff>
      <xdr:row>23</xdr:row>
      <xdr:rowOff>109835</xdr:rowOff>
    </xdr:from>
    <xdr:to>
      <xdr:col>19</xdr:col>
      <xdr:colOff>34194</xdr:colOff>
      <xdr:row>28</xdr:row>
      <xdr:rowOff>40233</xdr:rowOff>
    </xdr:to>
    <xdr:cxnSp macro="">
      <xdr:nvCxnSpPr>
        <xdr:cNvPr id="19" name="Straight Connector 18">
          <a:extLst>
            <a:ext uri="{FF2B5EF4-FFF2-40B4-BE49-F238E27FC236}">
              <a16:creationId xmlns:a16="http://schemas.microsoft.com/office/drawing/2014/main" id="{A258373C-BAE3-5042-8977-6E6A55430A20}"/>
            </a:ext>
          </a:extLst>
        </xdr:cNvPr>
        <xdr:cNvCxnSpPr>
          <a:cxnSpLocks/>
          <a:stCxn id="8" idx="7"/>
          <a:endCxn id="7" idx="3"/>
        </xdr:cNvCxnSpPr>
      </xdr:nvCxnSpPr>
      <xdr:spPr>
        <a:xfrm flipV="1">
          <a:off x="13364047" y="4504035"/>
          <a:ext cx="983047" cy="882898"/>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453330</xdr:colOff>
      <xdr:row>24</xdr:row>
      <xdr:rowOff>166767</xdr:rowOff>
    </xdr:from>
    <xdr:to>
      <xdr:col>16</xdr:col>
      <xdr:colOff>578093</xdr:colOff>
      <xdr:row>29</xdr:row>
      <xdr:rowOff>40233</xdr:rowOff>
    </xdr:to>
    <xdr:cxnSp macro="">
      <xdr:nvCxnSpPr>
        <xdr:cNvPr id="20" name="Straight Connector 19">
          <a:extLst>
            <a:ext uri="{FF2B5EF4-FFF2-40B4-BE49-F238E27FC236}">
              <a16:creationId xmlns:a16="http://schemas.microsoft.com/office/drawing/2014/main" id="{19A633C4-B194-0449-9DEE-A5E66904B67C}"/>
            </a:ext>
          </a:extLst>
        </xdr:cNvPr>
        <xdr:cNvCxnSpPr>
          <a:cxnSpLocks/>
          <a:stCxn id="5" idx="5"/>
          <a:endCxn id="8" idx="1"/>
        </xdr:cNvCxnSpPr>
      </xdr:nvCxnSpPr>
      <xdr:spPr>
        <a:xfrm>
          <a:off x="11400730" y="4751467"/>
          <a:ext cx="1470963" cy="825966"/>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445522</xdr:colOff>
      <xdr:row>17</xdr:row>
      <xdr:rowOff>67041</xdr:rowOff>
    </xdr:from>
    <xdr:to>
      <xdr:col>8</xdr:col>
      <xdr:colOff>255800</xdr:colOff>
      <xdr:row>19</xdr:row>
      <xdr:rowOff>55373</xdr:rowOff>
    </xdr:to>
    <xdr:sp macro="" textlink="">
      <xdr:nvSpPr>
        <xdr:cNvPr id="21" name="TextBox 52">
          <a:extLst>
            <a:ext uri="{FF2B5EF4-FFF2-40B4-BE49-F238E27FC236}">
              <a16:creationId xmlns:a16="http://schemas.microsoft.com/office/drawing/2014/main" id="{EB01E72B-D156-6D42-9FC0-A1E06B750DB7}"/>
            </a:ext>
          </a:extLst>
        </xdr:cNvPr>
        <xdr:cNvSpPr txBox="1"/>
      </xdr:nvSpPr>
      <xdr:spPr>
        <a:xfrm>
          <a:off x="6541522" y="3318241"/>
          <a:ext cx="6230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16</a:t>
          </a:r>
        </a:p>
      </xdr:txBody>
    </xdr:sp>
    <xdr:clientData/>
  </xdr:twoCellAnchor>
  <xdr:twoCellAnchor>
    <xdr:from>
      <xdr:col>11</xdr:col>
      <xdr:colOff>461762</xdr:colOff>
      <xdr:row>27</xdr:row>
      <xdr:rowOff>44067</xdr:rowOff>
    </xdr:from>
    <xdr:to>
      <xdr:col>12</xdr:col>
      <xdr:colOff>272040</xdr:colOff>
      <xdr:row>29</xdr:row>
      <xdr:rowOff>32399</xdr:rowOff>
    </xdr:to>
    <xdr:sp macro="" textlink="">
      <xdr:nvSpPr>
        <xdr:cNvPr id="22" name="TextBox 53">
          <a:extLst>
            <a:ext uri="{FF2B5EF4-FFF2-40B4-BE49-F238E27FC236}">
              <a16:creationId xmlns:a16="http://schemas.microsoft.com/office/drawing/2014/main" id="{71B9FB5D-4E8C-4A47-A849-621237FA6577}"/>
            </a:ext>
          </a:extLst>
        </xdr:cNvPr>
        <xdr:cNvSpPr txBox="1"/>
      </xdr:nvSpPr>
      <xdr:spPr>
        <a:xfrm>
          <a:off x="9389862" y="5200267"/>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15</a:t>
          </a:r>
        </a:p>
      </xdr:txBody>
    </xdr:sp>
    <xdr:clientData/>
  </xdr:twoCellAnchor>
  <xdr:twoCellAnchor>
    <xdr:from>
      <xdr:col>7</xdr:col>
      <xdr:colOff>387983</xdr:colOff>
      <xdr:row>26</xdr:row>
      <xdr:rowOff>168866</xdr:rowOff>
    </xdr:from>
    <xdr:to>
      <xdr:col>8</xdr:col>
      <xdr:colOff>198261</xdr:colOff>
      <xdr:row>28</xdr:row>
      <xdr:rowOff>157198</xdr:rowOff>
    </xdr:to>
    <xdr:sp macro="" textlink="">
      <xdr:nvSpPr>
        <xdr:cNvPr id="23" name="TextBox 54">
          <a:extLst>
            <a:ext uri="{FF2B5EF4-FFF2-40B4-BE49-F238E27FC236}">
              <a16:creationId xmlns:a16="http://schemas.microsoft.com/office/drawing/2014/main" id="{C6E2297F-F6A3-6F4E-BFE7-2C8729599E28}"/>
            </a:ext>
          </a:extLst>
        </xdr:cNvPr>
        <xdr:cNvSpPr txBox="1"/>
      </xdr:nvSpPr>
      <xdr:spPr>
        <a:xfrm>
          <a:off x="6483983" y="5134566"/>
          <a:ext cx="6230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9</a:t>
          </a:r>
        </a:p>
      </xdr:txBody>
    </xdr:sp>
    <xdr:clientData/>
  </xdr:twoCellAnchor>
  <xdr:twoCellAnchor>
    <xdr:from>
      <xdr:col>10</xdr:col>
      <xdr:colOff>33451</xdr:colOff>
      <xdr:row>21</xdr:row>
      <xdr:rowOff>173200</xdr:rowOff>
    </xdr:from>
    <xdr:to>
      <xdr:col>10</xdr:col>
      <xdr:colOff>453329</xdr:colOff>
      <xdr:row>23</xdr:row>
      <xdr:rowOff>161532</xdr:rowOff>
    </xdr:to>
    <xdr:sp macro="" textlink="">
      <xdr:nvSpPr>
        <xdr:cNvPr id="24" name="TextBox 55">
          <a:extLst>
            <a:ext uri="{FF2B5EF4-FFF2-40B4-BE49-F238E27FC236}">
              <a16:creationId xmlns:a16="http://schemas.microsoft.com/office/drawing/2014/main" id="{731A392D-D982-5945-959E-940A9E616451}"/>
            </a:ext>
          </a:extLst>
        </xdr:cNvPr>
        <xdr:cNvSpPr txBox="1"/>
      </xdr:nvSpPr>
      <xdr:spPr>
        <a:xfrm>
          <a:off x="8288451" y="4186400"/>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35</a:t>
          </a:r>
        </a:p>
      </xdr:txBody>
    </xdr:sp>
    <xdr:clientData/>
  </xdr:twoCellAnchor>
  <xdr:twoCellAnchor>
    <xdr:from>
      <xdr:col>18</xdr:col>
      <xdr:colOff>135098</xdr:colOff>
      <xdr:row>17</xdr:row>
      <xdr:rowOff>38542</xdr:rowOff>
    </xdr:from>
    <xdr:to>
      <xdr:col>18</xdr:col>
      <xdr:colOff>554976</xdr:colOff>
      <xdr:row>19</xdr:row>
      <xdr:rowOff>26874</xdr:rowOff>
    </xdr:to>
    <xdr:sp macro="" textlink="">
      <xdr:nvSpPr>
        <xdr:cNvPr id="25" name="TextBox 56">
          <a:extLst>
            <a:ext uri="{FF2B5EF4-FFF2-40B4-BE49-F238E27FC236}">
              <a16:creationId xmlns:a16="http://schemas.microsoft.com/office/drawing/2014/main" id="{9336DC5E-8D4A-3841-BB76-9F0AD9E9F5E0}"/>
            </a:ext>
          </a:extLst>
        </xdr:cNvPr>
        <xdr:cNvSpPr txBox="1"/>
      </xdr:nvSpPr>
      <xdr:spPr>
        <a:xfrm>
          <a:off x="13774898" y="3289742"/>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8</a:t>
          </a:r>
        </a:p>
      </xdr:txBody>
    </xdr:sp>
    <xdr:clientData/>
  </xdr:twoCellAnchor>
  <xdr:twoCellAnchor>
    <xdr:from>
      <xdr:col>15</xdr:col>
      <xdr:colOff>86418</xdr:colOff>
      <xdr:row>18</xdr:row>
      <xdr:rowOff>103400</xdr:rowOff>
    </xdr:from>
    <xdr:to>
      <xdr:col>15</xdr:col>
      <xdr:colOff>506296</xdr:colOff>
      <xdr:row>20</xdr:row>
      <xdr:rowOff>91732</xdr:rowOff>
    </xdr:to>
    <xdr:sp macro="" textlink="">
      <xdr:nvSpPr>
        <xdr:cNvPr id="26" name="TextBox 57">
          <a:extLst>
            <a:ext uri="{FF2B5EF4-FFF2-40B4-BE49-F238E27FC236}">
              <a16:creationId xmlns:a16="http://schemas.microsoft.com/office/drawing/2014/main" id="{7BAA6E49-800A-3C4C-9A69-9F769D70FC40}"/>
            </a:ext>
          </a:extLst>
        </xdr:cNvPr>
        <xdr:cNvSpPr txBox="1"/>
      </xdr:nvSpPr>
      <xdr:spPr>
        <a:xfrm>
          <a:off x="11706918" y="3545100"/>
          <a:ext cx="4198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14</a:t>
          </a:r>
        </a:p>
      </xdr:txBody>
    </xdr:sp>
    <xdr:clientData/>
  </xdr:twoCellAnchor>
  <xdr:twoCellAnchor>
    <xdr:from>
      <xdr:col>16</xdr:col>
      <xdr:colOff>466427</xdr:colOff>
      <xdr:row>21</xdr:row>
      <xdr:rowOff>105141</xdr:rowOff>
    </xdr:from>
    <xdr:to>
      <xdr:col>17</xdr:col>
      <xdr:colOff>276705</xdr:colOff>
      <xdr:row>23</xdr:row>
      <xdr:rowOff>93473</xdr:rowOff>
    </xdr:to>
    <xdr:sp macro="" textlink="">
      <xdr:nvSpPr>
        <xdr:cNvPr id="27" name="TextBox 58">
          <a:extLst>
            <a:ext uri="{FF2B5EF4-FFF2-40B4-BE49-F238E27FC236}">
              <a16:creationId xmlns:a16="http://schemas.microsoft.com/office/drawing/2014/main" id="{EE3519CC-392E-C743-8221-982641FDC470}"/>
            </a:ext>
          </a:extLst>
        </xdr:cNvPr>
        <xdr:cNvSpPr txBox="1"/>
      </xdr:nvSpPr>
      <xdr:spPr>
        <a:xfrm>
          <a:off x="12760027" y="4118341"/>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19</a:t>
          </a:r>
        </a:p>
      </xdr:txBody>
    </xdr:sp>
    <xdr:clientData/>
  </xdr:twoCellAnchor>
  <xdr:twoCellAnchor>
    <xdr:from>
      <xdr:col>13</xdr:col>
      <xdr:colOff>536106</xdr:colOff>
      <xdr:row>14</xdr:row>
      <xdr:rowOff>132581</xdr:rowOff>
    </xdr:from>
    <xdr:to>
      <xdr:col>14</xdr:col>
      <xdr:colOff>346384</xdr:colOff>
      <xdr:row>16</xdr:row>
      <xdr:rowOff>120913</xdr:rowOff>
    </xdr:to>
    <xdr:sp macro="" textlink="">
      <xdr:nvSpPr>
        <xdr:cNvPr id="28" name="TextBox 59">
          <a:extLst>
            <a:ext uri="{FF2B5EF4-FFF2-40B4-BE49-F238E27FC236}">
              <a16:creationId xmlns:a16="http://schemas.microsoft.com/office/drawing/2014/main" id="{A1ECB2EB-6D8C-084F-ABF5-7804BDD644A4}"/>
            </a:ext>
          </a:extLst>
        </xdr:cNvPr>
        <xdr:cNvSpPr txBox="1"/>
      </xdr:nvSpPr>
      <xdr:spPr>
        <a:xfrm>
          <a:off x="10810406" y="2812281"/>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25</a:t>
          </a:r>
        </a:p>
      </xdr:txBody>
    </xdr:sp>
    <xdr:clientData/>
  </xdr:twoCellAnchor>
  <xdr:twoCellAnchor>
    <xdr:from>
      <xdr:col>13</xdr:col>
      <xdr:colOff>375664</xdr:colOff>
      <xdr:row>30</xdr:row>
      <xdr:rowOff>5585</xdr:rowOff>
    </xdr:from>
    <xdr:to>
      <xdr:col>14</xdr:col>
      <xdr:colOff>185942</xdr:colOff>
      <xdr:row>31</xdr:row>
      <xdr:rowOff>184417</xdr:rowOff>
    </xdr:to>
    <xdr:sp macro="" textlink="">
      <xdr:nvSpPr>
        <xdr:cNvPr id="29" name="TextBox 60">
          <a:extLst>
            <a:ext uri="{FF2B5EF4-FFF2-40B4-BE49-F238E27FC236}">
              <a16:creationId xmlns:a16="http://schemas.microsoft.com/office/drawing/2014/main" id="{50F46982-0D8C-724B-8616-D83B7BEF6038}"/>
            </a:ext>
          </a:extLst>
        </xdr:cNvPr>
        <xdr:cNvSpPr txBox="1"/>
      </xdr:nvSpPr>
      <xdr:spPr>
        <a:xfrm>
          <a:off x="10649964" y="5733285"/>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22</a:t>
          </a:r>
        </a:p>
      </xdr:txBody>
    </xdr:sp>
    <xdr:clientData/>
  </xdr:twoCellAnchor>
  <xdr:twoCellAnchor>
    <xdr:from>
      <xdr:col>17</xdr:col>
      <xdr:colOff>424138</xdr:colOff>
      <xdr:row>24</xdr:row>
      <xdr:rowOff>55889</xdr:rowOff>
    </xdr:from>
    <xdr:to>
      <xdr:col>18</xdr:col>
      <xdr:colOff>234416</xdr:colOff>
      <xdr:row>26</xdr:row>
      <xdr:rowOff>44221</xdr:rowOff>
    </xdr:to>
    <xdr:sp macro="" textlink="">
      <xdr:nvSpPr>
        <xdr:cNvPr id="30" name="TextBox 61">
          <a:extLst>
            <a:ext uri="{FF2B5EF4-FFF2-40B4-BE49-F238E27FC236}">
              <a16:creationId xmlns:a16="http://schemas.microsoft.com/office/drawing/2014/main" id="{FF1DDB71-7DCB-2C4E-B6C7-4DBDEB6CD79B}"/>
            </a:ext>
          </a:extLst>
        </xdr:cNvPr>
        <xdr:cNvSpPr txBox="1"/>
      </xdr:nvSpPr>
      <xdr:spPr>
        <a:xfrm>
          <a:off x="13390838" y="4640589"/>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14</a:t>
          </a:r>
        </a:p>
      </xdr:txBody>
    </xdr:sp>
    <xdr:clientData/>
  </xdr:twoCellAnchor>
  <xdr:twoCellAnchor>
    <xdr:from>
      <xdr:col>12</xdr:col>
      <xdr:colOff>272040</xdr:colOff>
      <xdr:row>18</xdr:row>
      <xdr:rowOff>121572</xdr:rowOff>
    </xdr:from>
    <xdr:to>
      <xdr:col>13</xdr:col>
      <xdr:colOff>82318</xdr:colOff>
      <xdr:row>20</xdr:row>
      <xdr:rowOff>109904</xdr:rowOff>
    </xdr:to>
    <xdr:sp macro="" textlink="">
      <xdr:nvSpPr>
        <xdr:cNvPr id="31" name="TextBox 44">
          <a:extLst>
            <a:ext uri="{FF2B5EF4-FFF2-40B4-BE49-F238E27FC236}">
              <a16:creationId xmlns:a16="http://schemas.microsoft.com/office/drawing/2014/main" id="{A56D69F9-06B6-A141-A95E-DFDA7C3B899D}"/>
            </a:ext>
          </a:extLst>
        </xdr:cNvPr>
        <xdr:cNvSpPr txBox="1"/>
      </xdr:nvSpPr>
      <xdr:spPr>
        <a:xfrm>
          <a:off x="9873240" y="3563272"/>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12</a:t>
          </a:r>
        </a:p>
      </xdr:txBody>
    </xdr:sp>
    <xdr:clientData/>
  </xdr:twoCellAnchor>
  <xdr:twoCellAnchor>
    <xdr:from>
      <xdr:col>15</xdr:col>
      <xdr:colOff>429120</xdr:colOff>
      <xdr:row>25</xdr:row>
      <xdr:rowOff>66673</xdr:rowOff>
    </xdr:from>
    <xdr:to>
      <xdr:col>16</xdr:col>
      <xdr:colOff>239398</xdr:colOff>
      <xdr:row>27</xdr:row>
      <xdr:rowOff>55005</xdr:rowOff>
    </xdr:to>
    <xdr:sp macro="" textlink="">
      <xdr:nvSpPr>
        <xdr:cNvPr id="32" name="TextBox 31">
          <a:extLst>
            <a:ext uri="{FF2B5EF4-FFF2-40B4-BE49-F238E27FC236}">
              <a16:creationId xmlns:a16="http://schemas.microsoft.com/office/drawing/2014/main" id="{3E84CEB2-CD7D-E144-8D09-9291401CE8C9}"/>
            </a:ext>
          </a:extLst>
        </xdr:cNvPr>
        <xdr:cNvSpPr txBox="1"/>
      </xdr:nvSpPr>
      <xdr:spPr>
        <a:xfrm>
          <a:off x="12049620" y="4841873"/>
          <a:ext cx="483378" cy="369332"/>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a:t>17</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366062</xdr:colOff>
      <xdr:row>14</xdr:row>
      <xdr:rowOff>127000</xdr:rowOff>
    </xdr:from>
    <xdr:to>
      <xdr:col>18</xdr:col>
      <xdr:colOff>390526</xdr:colOff>
      <xdr:row>28</xdr:row>
      <xdr:rowOff>142875</xdr:rowOff>
    </xdr:to>
    <xdr:pic>
      <xdr:nvPicPr>
        <xdr:cNvPr id="2" name="Picture 1">
          <a:extLst>
            <a:ext uri="{FF2B5EF4-FFF2-40B4-BE49-F238E27FC236}">
              <a16:creationId xmlns:a16="http://schemas.microsoft.com/office/drawing/2014/main" id="{DCA70CA5-2665-497D-886B-E19E11E7090E}"/>
            </a:ext>
          </a:extLst>
        </xdr:cNvPr>
        <xdr:cNvPicPr>
          <a:picLocks noChangeAspect="1"/>
        </xdr:cNvPicPr>
      </xdr:nvPicPr>
      <xdr:blipFill rotWithShape="1">
        <a:blip xmlns:r="http://schemas.openxmlformats.org/officeDocument/2006/relationships" r:embed="rId1"/>
        <a:srcRect l="34118" t="39264" r="31867" b="23045"/>
        <a:stretch/>
      </xdr:blipFill>
      <xdr:spPr>
        <a:xfrm>
          <a:off x="8976662" y="6794500"/>
          <a:ext cx="4736164" cy="268287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8367C-B3B7-CE4E-BBAD-DEDD1A9923C4}">
  <dimension ref="A1:S32"/>
  <sheetViews>
    <sheetView workbookViewId="0">
      <selection activeCell="P13" sqref="P13"/>
    </sheetView>
  </sheetViews>
  <sheetFormatPr baseColWidth="10" defaultColWidth="8.83203125" defaultRowHeight="15" x14ac:dyDescent="0.2"/>
  <cols>
    <col min="1" max="1" width="12.6640625" customWidth="1"/>
    <col min="2" max="2" width="10.5" customWidth="1"/>
    <col min="4" max="4" width="6.33203125" customWidth="1"/>
    <col min="5" max="5" width="5.6640625" customWidth="1"/>
    <col min="6" max="6" width="5" customWidth="1"/>
    <col min="7" max="7" width="31" customWidth="1"/>
    <col min="8" max="8" width="10.6640625" customWidth="1"/>
  </cols>
  <sheetData>
    <row r="1" spans="1:19" x14ac:dyDescent="0.2">
      <c r="A1" s="9" t="s">
        <v>26</v>
      </c>
    </row>
    <row r="2" spans="1:19" x14ac:dyDescent="0.2">
      <c r="A2" t="s">
        <v>27</v>
      </c>
      <c r="B2" t="s">
        <v>28</v>
      </c>
      <c r="E2" t="s">
        <v>29</v>
      </c>
      <c r="H2" s="4" t="s">
        <v>30</v>
      </c>
      <c r="I2" s="4" t="s">
        <v>31</v>
      </c>
      <c r="J2" s="4" t="s">
        <v>32</v>
      </c>
      <c r="K2" s="4" t="s">
        <v>33</v>
      </c>
      <c r="L2" s="4" t="s">
        <v>34</v>
      </c>
      <c r="M2" s="4" t="s">
        <v>35</v>
      </c>
      <c r="N2" s="4" t="s">
        <v>36</v>
      </c>
      <c r="O2" s="4" t="s">
        <v>37</v>
      </c>
      <c r="P2" s="4" t="s">
        <v>38</v>
      </c>
      <c r="Q2" s="4" t="s">
        <v>39</v>
      </c>
      <c r="R2" s="4" t="s">
        <v>40</v>
      </c>
      <c r="S2" s="4" t="s">
        <v>41</v>
      </c>
    </row>
    <row r="3" spans="1:19" x14ac:dyDescent="0.2">
      <c r="B3" t="s">
        <v>42</v>
      </c>
      <c r="D3" s="7" t="s">
        <v>31</v>
      </c>
      <c r="E3" s="7" t="s">
        <v>43</v>
      </c>
      <c r="F3" s="7"/>
      <c r="H3" s="4">
        <v>16</v>
      </c>
      <c r="I3" s="4">
        <v>9</v>
      </c>
      <c r="J3" s="4">
        <v>35</v>
      </c>
      <c r="K3" s="4">
        <v>12</v>
      </c>
      <c r="L3" s="4">
        <v>25</v>
      </c>
      <c r="M3" s="4">
        <v>15</v>
      </c>
      <c r="N3" s="4">
        <v>22</v>
      </c>
      <c r="O3" s="4">
        <v>14</v>
      </c>
      <c r="P3" s="4">
        <v>17</v>
      </c>
      <c r="Q3" s="4">
        <v>19</v>
      </c>
      <c r="R3" s="4">
        <v>8</v>
      </c>
      <c r="S3" s="4">
        <v>14</v>
      </c>
    </row>
    <row r="4" spans="1:19" x14ac:dyDescent="0.2">
      <c r="B4" s="15" t="s">
        <v>44</v>
      </c>
      <c r="C4" s="15" t="str">
        <f>B4</f>
        <v>1-3:09</v>
      </c>
      <c r="D4" t="s">
        <v>32</v>
      </c>
      <c r="H4" s="6">
        <v>0</v>
      </c>
      <c r="I4" s="6">
        <v>1</v>
      </c>
      <c r="J4" s="6">
        <v>0</v>
      </c>
      <c r="K4" s="6">
        <v>0</v>
      </c>
      <c r="L4" s="6">
        <v>0</v>
      </c>
      <c r="M4" s="6">
        <v>1</v>
      </c>
      <c r="N4" s="6">
        <v>0</v>
      </c>
      <c r="O4" s="6">
        <v>0</v>
      </c>
      <c r="P4" s="6">
        <v>0</v>
      </c>
      <c r="Q4" s="6">
        <v>1</v>
      </c>
      <c r="R4" s="6">
        <v>0</v>
      </c>
      <c r="S4" s="6">
        <v>0</v>
      </c>
    </row>
    <row r="5" spans="1:19" x14ac:dyDescent="0.2">
      <c r="D5" t="s">
        <v>30</v>
      </c>
    </row>
    <row r="6" spans="1:19" x14ac:dyDescent="0.2">
      <c r="H6" s="9" t="s">
        <v>45</v>
      </c>
    </row>
    <row r="7" spans="1:19" x14ac:dyDescent="0.2">
      <c r="A7" s="16" t="s">
        <v>46</v>
      </c>
      <c r="B7" s="15" t="s">
        <v>28</v>
      </c>
      <c r="C7" s="15" t="str">
        <f>B7</f>
        <v>1-2:16</v>
      </c>
      <c r="D7" s="17" t="s">
        <v>31</v>
      </c>
      <c r="E7" s="17" t="s">
        <v>35</v>
      </c>
      <c r="F7" s="17" t="s">
        <v>39</v>
      </c>
      <c r="H7">
        <f>SUMPRODUCT(H3:S3,H4:S4)</f>
        <v>43</v>
      </c>
    </row>
    <row r="8" spans="1:19" x14ac:dyDescent="0.2">
      <c r="B8" t="s">
        <v>42</v>
      </c>
      <c r="D8" s="17">
        <v>1</v>
      </c>
      <c r="E8" s="17">
        <v>1</v>
      </c>
      <c r="F8" s="17">
        <v>1</v>
      </c>
    </row>
    <row r="9" spans="1:19" x14ac:dyDescent="0.2">
      <c r="B9" t="s">
        <v>47</v>
      </c>
      <c r="H9" s="9" t="s">
        <v>29</v>
      </c>
    </row>
    <row r="10" spans="1:19" ht="16" x14ac:dyDescent="0.2">
      <c r="B10" t="s">
        <v>48</v>
      </c>
      <c r="G10" s="8" t="s">
        <v>49</v>
      </c>
      <c r="H10">
        <f>SUM(H4+I4+J4)</f>
        <v>1</v>
      </c>
      <c r="I10" t="s">
        <v>23</v>
      </c>
      <c r="J10">
        <v>1</v>
      </c>
    </row>
    <row r="11" spans="1:19" x14ac:dyDescent="0.2">
      <c r="G11" t="s">
        <v>50</v>
      </c>
      <c r="H11">
        <f>H4</f>
        <v>0</v>
      </c>
      <c r="I11" t="s">
        <v>23</v>
      </c>
      <c r="J11">
        <f>K4+L4</f>
        <v>0</v>
      </c>
    </row>
    <row r="12" spans="1:19" x14ac:dyDescent="0.2">
      <c r="A12" t="s">
        <v>51</v>
      </c>
      <c r="B12" t="s">
        <v>52</v>
      </c>
      <c r="G12" t="s">
        <v>53</v>
      </c>
      <c r="H12">
        <f>J4+K4+M4</f>
        <v>1</v>
      </c>
      <c r="I12" t="s">
        <v>23</v>
      </c>
      <c r="J12">
        <f>O4+P4+Q4</f>
        <v>1</v>
      </c>
    </row>
    <row r="13" spans="1:19" x14ac:dyDescent="0.2">
      <c r="B13" t="s">
        <v>54</v>
      </c>
      <c r="G13" t="s">
        <v>55</v>
      </c>
      <c r="H13">
        <f>I4</f>
        <v>1</v>
      </c>
      <c r="I13" t="s">
        <v>23</v>
      </c>
      <c r="J13">
        <f>M4+N4</f>
        <v>1</v>
      </c>
    </row>
    <row r="14" spans="1:19" x14ac:dyDescent="0.2">
      <c r="B14" s="15" t="s">
        <v>56</v>
      </c>
      <c r="C14" s="15" t="str">
        <f>B14</f>
        <v>1-3-4: 24</v>
      </c>
      <c r="G14" t="s">
        <v>57</v>
      </c>
      <c r="H14">
        <f>L4+O4</f>
        <v>0</v>
      </c>
      <c r="I14" t="s">
        <v>23</v>
      </c>
      <c r="J14">
        <f>R4</f>
        <v>0</v>
      </c>
    </row>
    <row r="15" spans="1:19" x14ac:dyDescent="0.2">
      <c r="B15" t="s">
        <v>58</v>
      </c>
      <c r="G15" t="s">
        <v>59</v>
      </c>
      <c r="H15">
        <f>N4+P4</f>
        <v>0</v>
      </c>
      <c r="I15" t="s">
        <v>23</v>
      </c>
      <c r="J15">
        <f>S4</f>
        <v>0</v>
      </c>
    </row>
    <row r="16" spans="1:19" x14ac:dyDescent="0.2">
      <c r="G16" t="s">
        <v>60</v>
      </c>
      <c r="H16">
        <f>Q4+R4+S4</f>
        <v>1</v>
      </c>
      <c r="I16" t="s">
        <v>23</v>
      </c>
      <c r="J16">
        <v>1</v>
      </c>
    </row>
    <row r="17" spans="1:3" x14ac:dyDescent="0.2">
      <c r="A17" t="s">
        <v>61</v>
      </c>
      <c r="B17" t="s">
        <v>62</v>
      </c>
    </row>
    <row r="18" spans="1:3" x14ac:dyDescent="0.2">
      <c r="B18" t="s">
        <v>63</v>
      </c>
    </row>
    <row r="19" spans="1:3" x14ac:dyDescent="0.2">
      <c r="B19" t="s">
        <v>64</v>
      </c>
    </row>
    <row r="20" spans="1:3" x14ac:dyDescent="0.2">
      <c r="B20" t="s">
        <v>65</v>
      </c>
    </row>
    <row r="21" spans="1:3" x14ac:dyDescent="0.2">
      <c r="B21" s="15" t="s">
        <v>58</v>
      </c>
      <c r="C21" s="15" t="str">
        <f>B21</f>
        <v>1-3-6: 31</v>
      </c>
    </row>
    <row r="23" spans="1:3" x14ac:dyDescent="0.2">
      <c r="A23" t="s">
        <v>66</v>
      </c>
    </row>
    <row r="24" spans="1:3" x14ac:dyDescent="0.2">
      <c r="B24" t="s">
        <v>67</v>
      </c>
    </row>
    <row r="25" spans="1:3" x14ac:dyDescent="0.2">
      <c r="B25" s="15" t="s">
        <v>68</v>
      </c>
      <c r="C25" s="15" t="str">
        <f>B25</f>
        <v>1-3-4-5:38</v>
      </c>
    </row>
    <row r="26" spans="1:3" x14ac:dyDescent="0.2">
      <c r="B26" t="s">
        <v>64</v>
      </c>
    </row>
    <row r="27" spans="1:3" x14ac:dyDescent="0.2">
      <c r="B27" t="s">
        <v>69</v>
      </c>
    </row>
    <row r="28" spans="1:3" x14ac:dyDescent="0.2">
      <c r="A28" t="s">
        <v>70</v>
      </c>
    </row>
    <row r="29" spans="1:3" x14ac:dyDescent="0.2">
      <c r="B29" t="s">
        <v>71</v>
      </c>
    </row>
    <row r="30" spans="1:3" x14ac:dyDescent="0.2">
      <c r="B30" s="15" t="s">
        <v>72</v>
      </c>
      <c r="C30" s="15" t="str">
        <f>B30</f>
        <v>1-3-4-7:43</v>
      </c>
    </row>
    <row r="31" spans="1:3" x14ac:dyDescent="0.2">
      <c r="B31" t="s">
        <v>73</v>
      </c>
    </row>
    <row r="32" spans="1:3" x14ac:dyDescent="0.2">
      <c r="A32" s="17" t="s">
        <v>74</v>
      </c>
      <c r="B32" s="17">
        <v>43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564A-3B33-43D4-B8EB-33350049552A}">
  <dimension ref="C3:S33"/>
  <sheetViews>
    <sheetView tabSelected="1" topLeftCell="A5" workbookViewId="0">
      <selection activeCell="F27" sqref="F27"/>
    </sheetView>
  </sheetViews>
  <sheetFormatPr baseColWidth="10" defaultColWidth="8.83203125" defaultRowHeight="15" x14ac:dyDescent="0.2"/>
  <cols>
    <col min="3" max="3" width="18.5" customWidth="1"/>
    <col min="4" max="4" width="9.33203125" customWidth="1"/>
    <col min="5" max="5" width="11.33203125" customWidth="1"/>
    <col min="6" max="6" width="12" customWidth="1"/>
  </cols>
  <sheetData>
    <row r="3" spans="3:19" ht="16" thickBot="1" x14ac:dyDescent="0.25"/>
    <row r="4" spans="3:19" ht="213" customHeight="1" thickBot="1" x14ac:dyDescent="0.3">
      <c r="C4" s="18" t="s">
        <v>0</v>
      </c>
      <c r="D4" s="19"/>
      <c r="E4" s="19"/>
      <c r="F4" s="19"/>
      <c r="G4" s="19"/>
      <c r="H4" s="19"/>
      <c r="I4" s="19"/>
      <c r="J4" s="19"/>
      <c r="K4" s="19"/>
      <c r="L4" s="19"/>
      <c r="M4" s="19"/>
      <c r="N4" s="19"/>
      <c r="O4" s="19"/>
      <c r="P4" s="19"/>
      <c r="Q4" s="19"/>
      <c r="R4" s="19"/>
      <c r="S4" s="20"/>
    </row>
    <row r="6" spans="3:19" ht="16" thickBot="1" x14ac:dyDescent="0.25"/>
    <row r="7" spans="3:19" ht="129" customHeight="1" thickBot="1" x14ac:dyDescent="0.3">
      <c r="C7" s="18" t="s">
        <v>1</v>
      </c>
      <c r="D7" s="19"/>
      <c r="E7" s="19"/>
      <c r="F7" s="19"/>
      <c r="G7" s="19"/>
      <c r="H7" s="19"/>
      <c r="I7" s="19"/>
      <c r="J7" s="19"/>
      <c r="K7" s="19"/>
      <c r="L7" s="19"/>
      <c r="M7" s="19"/>
      <c r="N7" s="19"/>
      <c r="O7" s="19"/>
      <c r="P7" s="19"/>
      <c r="Q7" s="19"/>
      <c r="R7" s="19"/>
      <c r="S7" s="20"/>
    </row>
    <row r="8" spans="3:19" ht="16" thickBot="1" x14ac:dyDescent="0.25"/>
    <row r="9" spans="3:19" x14ac:dyDescent="0.2">
      <c r="C9" s="1"/>
      <c r="D9" s="2" t="s">
        <v>2</v>
      </c>
      <c r="E9" s="2"/>
      <c r="F9" s="2" t="s">
        <v>3</v>
      </c>
      <c r="G9" s="2"/>
      <c r="H9" s="2" t="s">
        <v>8</v>
      </c>
      <c r="I9" s="2"/>
      <c r="J9" s="3" t="s">
        <v>11</v>
      </c>
      <c r="K9" s="10"/>
    </row>
    <row r="10" spans="3:19" x14ac:dyDescent="0.2">
      <c r="C10" s="4" t="s">
        <v>4</v>
      </c>
      <c r="D10" s="5">
        <v>3</v>
      </c>
      <c r="E10" s="4" t="s">
        <v>5</v>
      </c>
      <c r="F10" s="5">
        <v>3</v>
      </c>
      <c r="G10" s="4" t="s">
        <v>9</v>
      </c>
      <c r="H10" s="5">
        <v>22</v>
      </c>
      <c r="I10" s="4" t="s">
        <v>12</v>
      </c>
      <c r="J10" s="5">
        <v>12</v>
      </c>
      <c r="K10" s="11"/>
    </row>
    <row r="11" spans="3:19" x14ac:dyDescent="0.2">
      <c r="C11" s="4"/>
      <c r="D11" s="4"/>
      <c r="E11" s="4" t="s">
        <v>6</v>
      </c>
      <c r="F11" s="5">
        <v>3</v>
      </c>
      <c r="G11" s="4" t="s">
        <v>10</v>
      </c>
      <c r="H11" s="5">
        <v>19</v>
      </c>
      <c r="I11" s="4" t="s">
        <v>13</v>
      </c>
      <c r="J11" s="5">
        <v>14</v>
      </c>
      <c r="K11" s="11"/>
    </row>
    <row r="12" spans="3:19" x14ac:dyDescent="0.2">
      <c r="C12" s="4"/>
      <c r="D12" s="4"/>
      <c r="E12" s="4" t="s">
        <v>7</v>
      </c>
      <c r="F12" s="5">
        <v>3</v>
      </c>
      <c r="G12" s="4"/>
      <c r="H12" s="4"/>
      <c r="I12" s="4" t="s">
        <v>14</v>
      </c>
      <c r="J12" s="5">
        <v>16</v>
      </c>
      <c r="K12" s="11"/>
    </row>
    <row r="14" spans="3:19" x14ac:dyDescent="0.2">
      <c r="C14" s="13" t="s">
        <v>15</v>
      </c>
      <c r="D14" s="13" t="s">
        <v>16</v>
      </c>
      <c r="E14" s="13" t="s">
        <v>17</v>
      </c>
      <c r="F14" s="13" t="s">
        <v>18</v>
      </c>
      <c r="G14" s="13" t="s">
        <v>24</v>
      </c>
      <c r="H14" s="21" t="s">
        <v>19</v>
      </c>
      <c r="I14" s="21"/>
      <c r="J14" s="21"/>
      <c r="K14" s="14" t="s">
        <v>25</v>
      </c>
      <c r="L14" s="13" t="s">
        <v>22</v>
      </c>
      <c r="M14" s="13"/>
      <c r="N14" s="13"/>
      <c r="O14" s="13"/>
      <c r="P14" s="13"/>
    </row>
    <row r="15" spans="3:19" x14ac:dyDescent="0.2">
      <c r="C15">
        <v>1</v>
      </c>
      <c r="D15">
        <v>2</v>
      </c>
      <c r="E15" s="12">
        <v>7</v>
      </c>
      <c r="F15">
        <v>7</v>
      </c>
      <c r="G15">
        <v>2</v>
      </c>
      <c r="H15">
        <f>E15</f>
        <v>7</v>
      </c>
      <c r="I15" t="s">
        <v>23</v>
      </c>
      <c r="J15">
        <f>E18+E19</f>
        <v>7</v>
      </c>
      <c r="K15">
        <v>3</v>
      </c>
    </row>
    <row r="16" spans="3:19" x14ac:dyDescent="0.2">
      <c r="C16">
        <v>1</v>
      </c>
      <c r="D16">
        <v>3</v>
      </c>
      <c r="E16" s="6">
        <v>10</v>
      </c>
      <c r="F16">
        <v>10</v>
      </c>
      <c r="G16">
        <v>3</v>
      </c>
      <c r="H16">
        <f>E16</f>
        <v>10</v>
      </c>
      <c r="I16" t="s">
        <v>23</v>
      </c>
      <c r="J16">
        <f>E20+E21</f>
        <v>10</v>
      </c>
      <c r="K16">
        <v>3</v>
      </c>
    </row>
    <row r="17" spans="3:12" x14ac:dyDescent="0.2">
      <c r="C17">
        <v>1</v>
      </c>
      <c r="D17">
        <v>4</v>
      </c>
      <c r="E17" s="6">
        <v>0</v>
      </c>
      <c r="F17">
        <v>8</v>
      </c>
      <c r="G17">
        <v>4</v>
      </c>
      <c r="H17">
        <f>E17</f>
        <v>0</v>
      </c>
      <c r="I17" t="s">
        <v>23</v>
      </c>
      <c r="J17">
        <f>E22</f>
        <v>0</v>
      </c>
      <c r="K17">
        <v>3</v>
      </c>
    </row>
    <row r="18" spans="3:12" x14ac:dyDescent="0.2">
      <c r="C18">
        <v>2</v>
      </c>
      <c r="D18">
        <v>5</v>
      </c>
      <c r="E18" s="6">
        <v>1</v>
      </c>
      <c r="F18">
        <v>9</v>
      </c>
      <c r="G18">
        <v>5</v>
      </c>
      <c r="H18">
        <f>E18+E20+E22</f>
        <v>8</v>
      </c>
      <c r="I18" t="s">
        <v>23</v>
      </c>
      <c r="J18">
        <f>E23+E24+E25</f>
        <v>8</v>
      </c>
      <c r="K18">
        <v>3</v>
      </c>
    </row>
    <row r="19" spans="3:12" x14ac:dyDescent="0.2">
      <c r="C19">
        <v>2</v>
      </c>
      <c r="D19">
        <v>6</v>
      </c>
      <c r="E19" s="6">
        <v>6</v>
      </c>
      <c r="F19">
        <v>6</v>
      </c>
      <c r="G19">
        <v>6</v>
      </c>
      <c r="H19">
        <f>E19+E21</f>
        <v>9</v>
      </c>
      <c r="I19" t="s">
        <v>23</v>
      </c>
      <c r="J19">
        <f>E26+E27</f>
        <v>9</v>
      </c>
      <c r="K19">
        <v>3</v>
      </c>
    </row>
    <row r="20" spans="3:12" x14ac:dyDescent="0.2">
      <c r="C20">
        <v>3</v>
      </c>
      <c r="D20">
        <v>5</v>
      </c>
      <c r="E20" s="6">
        <v>7</v>
      </c>
      <c r="F20">
        <v>7</v>
      </c>
      <c r="G20">
        <v>7</v>
      </c>
      <c r="H20">
        <f>E23</f>
        <v>3</v>
      </c>
      <c r="I20" t="s">
        <v>23</v>
      </c>
      <c r="J20">
        <f>E28</f>
        <v>3</v>
      </c>
      <c r="K20">
        <v>22</v>
      </c>
    </row>
    <row r="21" spans="3:12" x14ac:dyDescent="0.2">
      <c r="C21">
        <v>3</v>
      </c>
      <c r="D21">
        <v>6</v>
      </c>
      <c r="E21" s="6">
        <v>3</v>
      </c>
      <c r="F21">
        <v>5</v>
      </c>
      <c r="G21">
        <v>8</v>
      </c>
      <c r="H21">
        <f>E24+E26</f>
        <v>7</v>
      </c>
      <c r="I21" t="s">
        <v>23</v>
      </c>
      <c r="J21">
        <f>E29</f>
        <v>7</v>
      </c>
      <c r="K21">
        <v>3</v>
      </c>
    </row>
    <row r="22" spans="3:12" x14ac:dyDescent="0.2">
      <c r="C22">
        <v>4</v>
      </c>
      <c r="D22">
        <v>5</v>
      </c>
      <c r="E22" s="6">
        <v>0</v>
      </c>
      <c r="F22">
        <v>10</v>
      </c>
      <c r="G22">
        <v>9</v>
      </c>
      <c r="H22">
        <f>E25+E27</f>
        <v>7</v>
      </c>
      <c r="I22" t="s">
        <v>23</v>
      </c>
      <c r="J22">
        <f>E30</f>
        <v>7</v>
      </c>
      <c r="K22">
        <v>22</v>
      </c>
    </row>
    <row r="23" spans="3:12" x14ac:dyDescent="0.2">
      <c r="C23">
        <v>5</v>
      </c>
      <c r="D23">
        <v>7</v>
      </c>
      <c r="E23" s="6">
        <v>3</v>
      </c>
      <c r="F23">
        <v>3</v>
      </c>
      <c r="G23">
        <v>10</v>
      </c>
      <c r="H23">
        <f>E28+E29+E30</f>
        <v>17</v>
      </c>
      <c r="I23" t="s">
        <v>23</v>
      </c>
      <c r="J23">
        <f>E15+E16+E17</f>
        <v>17</v>
      </c>
    </row>
    <row r="24" spans="3:12" x14ac:dyDescent="0.2">
      <c r="C24">
        <v>5</v>
      </c>
      <c r="D24">
        <v>8</v>
      </c>
      <c r="E24" s="6">
        <v>4</v>
      </c>
      <c r="F24">
        <v>4</v>
      </c>
    </row>
    <row r="25" spans="3:12" x14ac:dyDescent="0.2">
      <c r="C25">
        <v>5</v>
      </c>
      <c r="D25">
        <v>9</v>
      </c>
      <c r="E25" s="6">
        <v>1</v>
      </c>
      <c r="F25">
        <v>1</v>
      </c>
    </row>
    <row r="26" spans="3:12" x14ac:dyDescent="0.2">
      <c r="C26">
        <v>6</v>
      </c>
      <c r="D26">
        <v>8</v>
      </c>
      <c r="E26" s="6">
        <v>3</v>
      </c>
      <c r="F26">
        <v>6</v>
      </c>
    </row>
    <row r="27" spans="3:12" x14ac:dyDescent="0.2">
      <c r="C27">
        <v>6</v>
      </c>
      <c r="D27">
        <v>9</v>
      </c>
      <c r="E27" s="6">
        <v>6</v>
      </c>
      <c r="F27">
        <v>8</v>
      </c>
    </row>
    <row r="28" spans="3:12" x14ac:dyDescent="0.2">
      <c r="C28">
        <v>7</v>
      </c>
      <c r="D28">
        <v>10</v>
      </c>
      <c r="E28" s="6">
        <v>3</v>
      </c>
      <c r="F28">
        <v>8</v>
      </c>
    </row>
    <row r="29" spans="3:12" x14ac:dyDescent="0.2">
      <c r="C29">
        <v>8</v>
      </c>
      <c r="D29">
        <v>10</v>
      </c>
      <c r="E29" s="6">
        <v>7</v>
      </c>
      <c r="F29">
        <v>7</v>
      </c>
    </row>
    <row r="30" spans="3:12" x14ac:dyDescent="0.2">
      <c r="C30">
        <v>9</v>
      </c>
      <c r="D30">
        <v>10</v>
      </c>
      <c r="E30" s="6">
        <v>7</v>
      </c>
      <c r="F30">
        <v>7</v>
      </c>
    </row>
    <row r="31" spans="3:12" x14ac:dyDescent="0.2">
      <c r="C31">
        <v>10</v>
      </c>
    </row>
    <row r="32" spans="3:12" x14ac:dyDescent="0.2">
      <c r="C32" t="s">
        <v>20</v>
      </c>
      <c r="E32">
        <f>E28+E29+E30</f>
        <v>17</v>
      </c>
      <c r="J32">
        <f>SUMPRODUCT(E15:E30,K15:K30)</f>
        <v>235</v>
      </c>
      <c r="K32" t="s">
        <v>23</v>
      </c>
      <c r="L32">
        <v>70000</v>
      </c>
    </row>
    <row r="33" spans="3:3" ht="30" customHeight="1" x14ac:dyDescent="0.2">
      <c r="C33" s="8" t="s">
        <v>21</v>
      </c>
    </row>
  </sheetData>
  <mergeCells count="3">
    <mergeCell ref="C4:S4"/>
    <mergeCell ref="C7:S7"/>
    <mergeCell ref="H14:J1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Shortest Path Problem (2)</vt:lpstr>
      <vt:lpstr>The Dynaco Company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Vemprala, Naga</dc:creator>
  <cp:lastModifiedBy>Marissa Cheplick</cp:lastModifiedBy>
  <dcterms:created xsi:type="dcterms:W3CDTF">2025-02-11T20:38:08Z</dcterms:created>
  <dcterms:modified xsi:type="dcterms:W3CDTF">2026-02-19T05:08:12Z</dcterms:modified>
</cp:coreProperties>
</file>