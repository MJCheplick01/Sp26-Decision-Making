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2"/>
  <workbookPr/>
  <mc:AlternateContent xmlns:mc="http://schemas.openxmlformats.org/markup-compatibility/2006">
    <mc:Choice Requires="x15">
      <x15ac:absPath xmlns:x15ac="http://schemas.microsoft.com/office/spreadsheetml/2010/11/ac" url="/Users/owner/Documents/UP Courses/D_Mod/"/>
    </mc:Choice>
  </mc:AlternateContent>
  <xr:revisionPtr revIDLastSave="0" documentId="8_{E88BD619-FABB-954F-B404-6EFFEB638A9A}" xr6:coauthVersionLast="47" xr6:coauthVersionMax="47" xr10:uidLastSave="{00000000-0000-0000-0000-000000000000}"/>
  <bookViews>
    <workbookView xWindow="0" yWindow="760" windowWidth="29040" windowHeight="15840" firstSheet="4" activeTab="4" xr2:uid="{EC120D57-849D-5A4D-A088-8920693EDEDA}"/>
  </bookViews>
  <sheets>
    <sheet name="Sensitivity Report 1" sheetId="12" r:id="rId1"/>
    <sheet name="Sensitivity Report 2" sheetId="13" r:id="rId2"/>
    <sheet name="Solver" sheetId="2" r:id="rId3"/>
    <sheet name="Sensitivity Report Solution 1" sheetId="15" r:id="rId4"/>
    <sheet name="Solver - Solution 1" sheetId="14" r:id="rId5"/>
    <sheet name="Sensitivity Report Solution 2" sheetId="18" r:id="rId6"/>
    <sheet name="Solver - Solution 2 (Clean)" sheetId="16" r:id="rId7"/>
    <sheet name="Sensitivity Report With New A" sheetId="20" r:id="rId8"/>
    <sheet name="Solver - Solution 3 (New A)" sheetId="19" r:id="rId9"/>
  </sheets>
  <definedNames>
    <definedName name="solver_adj" localSheetId="2" hidden="1">Solver!$A$8:$F$8</definedName>
    <definedName name="solver_adj" localSheetId="4" hidden="1">'Solver - Solution 1'!$A$8:$F$8</definedName>
    <definedName name="solver_adj" localSheetId="6" hidden="1">'Solver - Solution 2 (Clean)'!$A$8:$F$8</definedName>
    <definedName name="solver_adj" localSheetId="8" hidden="1">'Solver - Solution 3 (New A)'!$A$8:$I$8</definedName>
    <definedName name="solver_cvg" localSheetId="2" hidden="1">0.0001</definedName>
    <definedName name="solver_cvg" localSheetId="4" hidden="1">0.0001</definedName>
    <definedName name="solver_cvg" localSheetId="6" hidden="1">0.0001</definedName>
    <definedName name="solver_cvg" localSheetId="8" hidden="1">0.0001</definedName>
    <definedName name="solver_drv" localSheetId="2" hidden="1">1</definedName>
    <definedName name="solver_drv" localSheetId="4" hidden="1">1</definedName>
    <definedName name="solver_drv" localSheetId="6" hidden="1">1</definedName>
    <definedName name="solver_drv" localSheetId="8" hidden="1">1</definedName>
    <definedName name="solver_eng" localSheetId="2" hidden="1">2</definedName>
    <definedName name="solver_eng" localSheetId="4" hidden="1">2</definedName>
    <definedName name="solver_eng" localSheetId="6" hidden="1">2</definedName>
    <definedName name="solver_eng" localSheetId="8" hidden="1">2</definedName>
    <definedName name="solver_est" localSheetId="4" hidden="1">1</definedName>
    <definedName name="solver_est" localSheetId="6" hidden="1">1</definedName>
    <definedName name="solver_est" localSheetId="8" hidden="1">1</definedName>
    <definedName name="solver_itr" localSheetId="2" hidden="1">2147483647</definedName>
    <definedName name="solver_itr" localSheetId="4" hidden="1">2147483647</definedName>
    <definedName name="solver_itr" localSheetId="6" hidden="1">2147483647</definedName>
    <definedName name="solver_itr" localSheetId="8" hidden="1">2147483647</definedName>
    <definedName name="solver_lhs0" localSheetId="6" hidden="1">'Solver - Solution 2 (Clean)'!$B$26:$B$27</definedName>
    <definedName name="solver_lhs0" localSheetId="8" hidden="1">'Solver - Solution 3 (New A)'!$B$26:$B$27</definedName>
    <definedName name="solver_lhs1" localSheetId="2" hidden="1">Solver!$B$23:$B$25</definedName>
    <definedName name="solver_lhs1" localSheetId="4" hidden="1">'Solver - Solution 1'!$B$25:$B$27</definedName>
    <definedName name="solver_lhs1" localSheetId="6" hidden="1">'Solver - Solution 2 (Clean)'!$B$23:$B$24</definedName>
    <definedName name="solver_lhs1" localSheetId="8" hidden="1">'Solver - Solution 3 (New A)'!$B$23:$B$24</definedName>
    <definedName name="solver_lhs2" localSheetId="2" hidden="1">Solver!$B$27:$B$28</definedName>
    <definedName name="solver_lhs2" localSheetId="4" hidden="1">'Solver - Solution 1'!$B$29:$B$30</definedName>
    <definedName name="solver_lhs2" localSheetId="6" hidden="1">'Solver - Solution 2 (Clean)'!$B$26:$B$27</definedName>
    <definedName name="solver_lhs2" localSheetId="8" hidden="1">'Solver - Solution 3 (New A)'!$B$26:$B$27</definedName>
    <definedName name="solver_lhs3" localSheetId="2" hidden="1">Solver!$B$29</definedName>
    <definedName name="solver_lhs3" localSheetId="4" hidden="1">'Solver - Solution 1'!$B$31</definedName>
    <definedName name="solver_lhs3" localSheetId="6" hidden="1">'Solver - Solution 2 (Clean)'!$B$30:$B$31</definedName>
    <definedName name="solver_lhs3" localSheetId="8" hidden="1">'Solver - Solution 3 (New A)'!$B$30:$B$31</definedName>
    <definedName name="solver_lhs4" localSheetId="2" hidden="1">Solver!$B$33:$B$34</definedName>
    <definedName name="solver_lhs4" localSheetId="4" hidden="1">'Solver - Solution 1'!$B$35:$B$36</definedName>
    <definedName name="solver_lhs4" localSheetId="6" hidden="1">'Solver - Solution 2 (Clean)'!$B$30:$B$31</definedName>
    <definedName name="solver_lhs4" localSheetId="8" hidden="1">'Solver - Solution 3 (New A)'!$B$33</definedName>
    <definedName name="solver_lhs5" localSheetId="2" hidden="1">Solver!$B$33:$B$34</definedName>
    <definedName name="solver_lhs5" localSheetId="4" hidden="1">'Solver - Solution 1'!$B$35:$B$36</definedName>
    <definedName name="solver_lhs5" localSheetId="6" hidden="1">'Solver - Solution 2 (Clean)'!$B$30:$B$31</definedName>
    <definedName name="solver_lhs5" localSheetId="8" hidden="1">'Solver - Solution 3 (New A)'!$B$30:$B$31</definedName>
    <definedName name="solver_lin" localSheetId="2" hidden="1">1</definedName>
    <definedName name="solver_lin" localSheetId="4" hidden="1">1</definedName>
    <definedName name="solver_lin" localSheetId="6" hidden="1">1</definedName>
    <definedName name="solver_lin" localSheetId="8" hidden="1">1</definedName>
    <definedName name="solver_mip" localSheetId="2" hidden="1">2147483647</definedName>
    <definedName name="solver_mip" localSheetId="4" hidden="1">2147483647</definedName>
    <definedName name="solver_mip" localSheetId="6" hidden="1">2147483647</definedName>
    <definedName name="solver_mip" localSheetId="8" hidden="1">2147483647</definedName>
    <definedName name="solver_mni" localSheetId="2" hidden="1">30</definedName>
    <definedName name="solver_mni" localSheetId="4" hidden="1">30</definedName>
    <definedName name="solver_mni" localSheetId="6" hidden="1">30</definedName>
    <definedName name="solver_mni" localSheetId="8" hidden="1">30</definedName>
    <definedName name="solver_mrt" localSheetId="2" hidden="1">0.075</definedName>
    <definedName name="solver_mrt" localSheetId="4" hidden="1">0.075</definedName>
    <definedName name="solver_mrt" localSheetId="6" hidden="1">0.075</definedName>
    <definedName name="solver_mrt" localSheetId="8" hidden="1">0.075</definedName>
    <definedName name="solver_msl" localSheetId="2" hidden="1">2</definedName>
    <definedName name="solver_msl" localSheetId="4" hidden="1">2</definedName>
    <definedName name="solver_msl" localSheetId="6" hidden="1">2</definedName>
    <definedName name="solver_msl" localSheetId="8" hidden="1">2</definedName>
    <definedName name="solver_neg" localSheetId="2" hidden="1">1</definedName>
    <definedName name="solver_neg" localSheetId="4" hidden="1">1</definedName>
    <definedName name="solver_neg" localSheetId="6" hidden="1">1</definedName>
    <definedName name="solver_neg" localSheetId="8" hidden="1">1</definedName>
    <definedName name="solver_nod" localSheetId="2" hidden="1">2147483647</definedName>
    <definedName name="solver_nod" localSheetId="4" hidden="1">2147483647</definedName>
    <definedName name="solver_nod" localSheetId="6" hidden="1">2147483647</definedName>
    <definedName name="solver_nod" localSheetId="8" hidden="1">2147483647</definedName>
    <definedName name="solver_num" localSheetId="2" hidden="1">4</definedName>
    <definedName name="solver_num" localSheetId="4" hidden="1">4</definedName>
    <definedName name="solver_num" localSheetId="6" hidden="1">3</definedName>
    <definedName name="solver_num" localSheetId="8" hidden="1">4</definedName>
    <definedName name="solver_nwt" localSheetId="4" hidden="1">1</definedName>
    <definedName name="solver_nwt" localSheetId="6" hidden="1">1</definedName>
    <definedName name="solver_nwt" localSheetId="8" hidden="1">1</definedName>
    <definedName name="solver_opt" localSheetId="2" hidden="1">Solver!$C$11</definedName>
    <definedName name="solver_opt" localSheetId="4" hidden="1">'Solver - Solution 1'!$C$12</definedName>
    <definedName name="solver_opt" localSheetId="6" hidden="1">'Solver - Solution 2 (Clean)'!$C$12</definedName>
    <definedName name="solver_opt" localSheetId="8" hidden="1">'Solver - Solution 3 (New A)'!$C$12</definedName>
    <definedName name="solver_pre" localSheetId="2" hidden="1">0.000001</definedName>
    <definedName name="solver_pre" localSheetId="4" hidden="1">0.000001</definedName>
    <definedName name="solver_pre" localSheetId="6" hidden="1">0.000001</definedName>
    <definedName name="solver_pre" localSheetId="8" hidden="1">0.000001</definedName>
    <definedName name="solver_rbv" localSheetId="2" hidden="1">1</definedName>
    <definedName name="solver_rbv" localSheetId="4" hidden="1">1</definedName>
    <definedName name="solver_rbv" localSheetId="6" hidden="1">1</definedName>
    <definedName name="solver_rbv" localSheetId="8" hidden="1">1</definedName>
    <definedName name="solver_rel0" localSheetId="6" hidden="1">1</definedName>
    <definedName name="solver_rel0" localSheetId="8" hidden="1">1</definedName>
    <definedName name="solver_rel1" localSheetId="2" hidden="1">3</definedName>
    <definedName name="solver_rel1" localSheetId="4" hidden="1">3</definedName>
    <definedName name="solver_rel1" localSheetId="6" hidden="1">3</definedName>
    <definedName name="solver_rel1" localSheetId="8" hidden="1">3</definedName>
    <definedName name="solver_rel2" localSheetId="2" hidden="1">1</definedName>
    <definedName name="solver_rel2" localSheetId="4" hidden="1">1</definedName>
    <definedName name="solver_rel2" localSheetId="6" hidden="1">1</definedName>
    <definedName name="solver_rel2" localSheetId="8" hidden="1">1</definedName>
    <definedName name="solver_rel3" localSheetId="2" hidden="1">3</definedName>
    <definedName name="solver_rel3" localSheetId="4" hidden="1">3</definedName>
    <definedName name="solver_rel3" localSheetId="6" hidden="1">1</definedName>
    <definedName name="solver_rel3" localSheetId="8" hidden="1">1</definedName>
    <definedName name="solver_rel4" localSheetId="2" hidden="1">1</definedName>
    <definedName name="solver_rel4" localSheetId="4" hidden="1">1</definedName>
    <definedName name="solver_rel4" localSheetId="6" hidden="1">1</definedName>
    <definedName name="solver_rel4" localSheetId="8" hidden="1">1</definedName>
    <definedName name="solver_rel5" localSheetId="2" hidden="1">1</definedName>
    <definedName name="solver_rel5" localSheetId="4" hidden="1">1</definedName>
    <definedName name="solver_rel5" localSheetId="6" hidden="1">1</definedName>
    <definedName name="solver_rel5" localSheetId="8" hidden="1">1</definedName>
    <definedName name="solver_rhs0" localSheetId="6" hidden="1">'Solver - Solution 2 (Clean)'!$D$26:$D$27</definedName>
    <definedName name="solver_rhs0" localSheetId="8" hidden="1">'Solver - Solution 3 (New A)'!$D$26:$D$27</definedName>
    <definedName name="solver_rhs1" localSheetId="2" hidden="1">Solver!$D$23:$D$25</definedName>
    <definedName name="solver_rhs1" localSheetId="4" hidden="1">'Solver - Solution 1'!$D$25:$D$27</definedName>
    <definedName name="solver_rhs1" localSheetId="6" hidden="1">'Solver - Solution 2 (Clean)'!$D$23:$D$24</definedName>
    <definedName name="solver_rhs1" localSheetId="8" hidden="1">'Solver - Solution 3 (New A)'!$D$23:$D$24</definedName>
    <definedName name="solver_rhs2" localSheetId="2" hidden="1">Solver!$D$27:$D$28</definedName>
    <definedName name="solver_rhs2" localSheetId="4" hidden="1">'Solver - Solution 1'!$D$29:$D$30</definedName>
    <definedName name="solver_rhs2" localSheetId="6" hidden="1">'Solver - Solution 2 (Clean)'!$D$26:$D$27</definedName>
    <definedName name="solver_rhs2" localSheetId="8" hidden="1">'Solver - Solution 3 (New A)'!$D$26:$D$27</definedName>
    <definedName name="solver_rhs3" localSheetId="2" hidden="1">Solver!$D$29</definedName>
    <definedName name="solver_rhs3" localSheetId="4" hidden="1">'Solver - Solution 1'!$D$31</definedName>
    <definedName name="solver_rhs3" localSheetId="6" hidden="1">'Solver - Solution 2 (Clean)'!$D$30:$D$31</definedName>
    <definedName name="solver_rhs3" localSheetId="8" hidden="1">'Solver - Solution 3 (New A)'!$D$30:$D$31</definedName>
    <definedName name="solver_rhs4" localSheetId="2" hidden="1">Solver!$D$33:$D$34</definedName>
    <definedName name="solver_rhs4" localSheetId="4" hidden="1">'Solver - Solution 1'!$D$35:$D$36</definedName>
    <definedName name="solver_rhs4" localSheetId="6" hidden="1">'Solver - Solution 2 (Clean)'!$D$30:$D$31</definedName>
    <definedName name="solver_rhs4" localSheetId="8" hidden="1">'Solver - Solution 3 (New A)'!$D$33</definedName>
    <definedName name="solver_rhs5" localSheetId="2" hidden="1">Solver!$D$33:$D$34</definedName>
    <definedName name="solver_rhs5" localSheetId="4" hidden="1">'Solver - Solution 1'!$D$35:$D$36</definedName>
    <definedName name="solver_rhs5" localSheetId="6" hidden="1">'Solver - Solution 2 (Clean)'!$D$30:$D$31</definedName>
    <definedName name="solver_rhs5" localSheetId="8" hidden="1">'Solver - Solution 3 (New A)'!$D$30:$D$31</definedName>
    <definedName name="solver_rlx" localSheetId="2" hidden="1">1</definedName>
    <definedName name="solver_rlx" localSheetId="4" hidden="1">1</definedName>
    <definedName name="solver_rlx" localSheetId="6" hidden="1">1</definedName>
    <definedName name="solver_rlx" localSheetId="8" hidden="1">1</definedName>
    <definedName name="solver_rsd" localSheetId="2" hidden="1">0</definedName>
    <definedName name="solver_rsd" localSheetId="4" hidden="1">0</definedName>
    <definedName name="solver_rsd" localSheetId="6" hidden="1">0</definedName>
    <definedName name="solver_rsd" localSheetId="8" hidden="1">0</definedName>
    <definedName name="solver_scl" localSheetId="2" hidden="1">1</definedName>
    <definedName name="solver_scl" localSheetId="4" hidden="1">1</definedName>
    <definedName name="solver_scl" localSheetId="6" hidden="1">1</definedName>
    <definedName name="solver_scl" localSheetId="8" hidden="1">1</definedName>
    <definedName name="solver_sho" localSheetId="2" hidden="1">2</definedName>
    <definedName name="solver_sho" localSheetId="4" hidden="1">2</definedName>
    <definedName name="solver_sho" localSheetId="6" hidden="1">2</definedName>
    <definedName name="solver_sho" localSheetId="8" hidden="1">2</definedName>
    <definedName name="solver_ssz" localSheetId="2" hidden="1">100</definedName>
    <definedName name="solver_ssz" localSheetId="4" hidden="1">100</definedName>
    <definedName name="solver_ssz" localSheetId="6" hidden="1">100</definedName>
    <definedName name="solver_ssz" localSheetId="8" hidden="1">100</definedName>
    <definedName name="solver_tim" localSheetId="2" hidden="1">2147483647</definedName>
    <definedName name="solver_tim" localSheetId="4" hidden="1">2147483647</definedName>
    <definedName name="solver_tim" localSheetId="6" hidden="1">2147483647</definedName>
    <definedName name="solver_tim" localSheetId="8" hidden="1">2147483647</definedName>
    <definedName name="solver_tol" localSheetId="2" hidden="1">0.01</definedName>
    <definedName name="solver_tol" localSheetId="4" hidden="1">0.01</definedName>
    <definedName name="solver_tol" localSheetId="6" hidden="1">0.01</definedName>
    <definedName name="solver_tol" localSheetId="8" hidden="1">0.01</definedName>
    <definedName name="solver_typ" localSheetId="2" hidden="1">1</definedName>
    <definedName name="solver_typ" localSheetId="4" hidden="1">1</definedName>
    <definedName name="solver_typ" localSheetId="6" hidden="1">1</definedName>
    <definedName name="solver_typ" localSheetId="8" hidden="1">1</definedName>
    <definedName name="solver_val" localSheetId="2" hidden="1">0</definedName>
    <definedName name="solver_val" localSheetId="4" hidden="1">0</definedName>
    <definedName name="solver_val" localSheetId="6" hidden="1">0</definedName>
    <definedName name="solver_val" localSheetId="8" hidden="1">0</definedName>
    <definedName name="solver_ver" localSheetId="2" hidden="1">2</definedName>
    <definedName name="solver_ver" localSheetId="4" hidden="1">3</definedName>
    <definedName name="solver_ver" localSheetId="6" hidden="1">3</definedName>
    <definedName name="solver_ver" localSheetId="8" hidden="1">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B33" i="19" l="1"/>
  <c r="B27" i="19"/>
  <c r="B26" i="19"/>
  <c r="D24" i="19"/>
  <c r="B24" i="19"/>
  <c r="D23" i="19"/>
  <c r="B23" i="19"/>
  <c r="C12" i="19"/>
  <c r="F17" i="19"/>
  <c r="F15" i="19"/>
  <c r="F13" i="19"/>
  <c r="E13" i="19"/>
  <c r="D31" i="19"/>
  <c r="B31" i="19"/>
  <c r="D30" i="19"/>
  <c r="B30" i="19"/>
  <c r="D27" i="19"/>
  <c r="D26" i="19"/>
  <c r="E17" i="19"/>
  <c r="A17" i="19"/>
  <c r="E15" i="19"/>
  <c r="A15" i="19"/>
  <c r="A13" i="19"/>
  <c r="H13" i="19" l="1"/>
  <c r="D31" i="16"/>
  <c r="B31" i="16"/>
  <c r="D30" i="16"/>
  <c r="B30" i="16"/>
  <c r="D27" i="16"/>
  <c r="B27" i="16"/>
  <c r="D26" i="16"/>
  <c r="B26" i="16"/>
  <c r="D24" i="16"/>
  <c r="B24" i="16"/>
  <c r="D23" i="16"/>
  <c r="B23" i="16"/>
  <c r="E17" i="16"/>
  <c r="A17" i="16"/>
  <c r="E15" i="16"/>
  <c r="A15" i="16"/>
  <c r="E13" i="16"/>
  <c r="A13" i="16"/>
  <c r="B36" i="14"/>
  <c r="B35" i="14"/>
  <c r="B33" i="14"/>
  <c r="B31" i="14"/>
  <c r="B30" i="14"/>
  <c r="B29" i="14"/>
  <c r="D27" i="14"/>
  <c r="B27" i="14"/>
  <c r="B26" i="14"/>
  <c r="B25" i="14"/>
  <c r="B34" i="2"/>
  <c r="B33" i="2"/>
  <c r="B31" i="2"/>
  <c r="D25" i="14"/>
  <c r="C12" i="14"/>
  <c r="H13" i="14" s="1"/>
  <c r="E17" i="14"/>
  <c r="E15" i="14"/>
  <c r="E13" i="14"/>
  <c r="D36" i="14"/>
  <c r="D35" i="14"/>
  <c r="D30" i="14"/>
  <c r="D29" i="14"/>
  <c r="D26" i="14"/>
  <c r="A17" i="14"/>
  <c r="A15" i="14"/>
  <c r="A13" i="14"/>
  <c r="C11" i="2"/>
  <c r="C12" i="16" l="1"/>
  <c r="H13" i="16" s="1"/>
  <c r="C13" i="14"/>
  <c r="C12" i="2"/>
  <c r="E16" i="2"/>
  <c r="E14" i="2"/>
  <c r="E12" i="2"/>
  <c r="A16" i="2"/>
  <c r="A14" i="2"/>
  <c r="A12" i="2"/>
  <c r="D33" i="2"/>
  <c r="B23" i="2"/>
  <c r="B28" i="2"/>
  <c r="B27" i="2"/>
  <c r="D34" i="2"/>
  <c r="B25" i="2"/>
  <c r="B24" i="2"/>
  <c r="D28" i="2"/>
  <c r="D27" i="2"/>
  <c r="B29" i="2"/>
  <c r="D23" i="2"/>
  <c r="A18" i="2" l="1"/>
  <c r="D24" i="2" l="1"/>
  <c r="D25" i="2"/>
</calcChain>
</file>

<file path=xl/sharedStrings.xml><?xml version="1.0" encoding="utf-8"?>
<sst xmlns="http://schemas.openxmlformats.org/spreadsheetml/2006/main" count="478" uniqueCount="119">
  <si>
    <t>&lt;=</t>
  </si>
  <si>
    <t>Grade B Supply</t>
  </si>
  <si>
    <t>Grade A Supply</t>
  </si>
  <si>
    <t>Supply Constraints</t>
  </si>
  <si>
    <t>&gt;=</t>
  </si>
  <si>
    <t>Non-negativity</t>
  </si>
  <si>
    <t>Paste Demand</t>
  </si>
  <si>
    <t>Juice Demand</t>
  </si>
  <si>
    <t>Demand Constraints</t>
  </si>
  <si>
    <t>Paste Quality</t>
  </si>
  <si>
    <t>Juice Quality</t>
  </si>
  <si>
    <t>Whole Quality</t>
  </si>
  <si>
    <t>Quality Contraints</t>
  </si>
  <si>
    <t>Constraints</t>
  </si>
  <si>
    <t>Total Profit</t>
  </si>
  <si>
    <t>Paste Profit</t>
  </si>
  <si>
    <t>Juice Profit</t>
  </si>
  <si>
    <t>Whole Profit</t>
  </si>
  <si>
    <t>Objective Function</t>
  </si>
  <si>
    <t>Paste B</t>
  </si>
  <si>
    <t>Paste A</t>
  </si>
  <si>
    <t>Juice B</t>
  </si>
  <si>
    <t>Juice A</t>
  </si>
  <si>
    <t>Whole B</t>
  </si>
  <si>
    <t>Whole A</t>
  </si>
  <si>
    <t>Decision Variables</t>
  </si>
  <si>
    <t>Paste</t>
  </si>
  <si>
    <t>Juice</t>
  </si>
  <si>
    <t>No limit</t>
  </si>
  <si>
    <t>Whole</t>
  </si>
  <si>
    <t xml:space="preserve">Min required quality </t>
  </si>
  <si>
    <t xml:space="preserve">Demand Forecast estimated in boxes before harvest </t>
  </si>
  <si>
    <t xml:space="preserve">Variable cost per case </t>
  </si>
  <si>
    <t xml:space="preserve">Required tomatoes in lb. </t>
  </si>
  <si>
    <t xml:space="preserve">Sales Price </t>
  </si>
  <si>
    <t xml:space="preserve">Product </t>
  </si>
  <si>
    <t>Whole Demand</t>
  </si>
  <si>
    <t>Worksheet: [Tomatoes_Excel_formula.xlsx]Solver</t>
  </si>
  <si>
    <t>Cell</t>
  </si>
  <si>
    <t>Name</t>
  </si>
  <si>
    <t>Variable Cells</t>
  </si>
  <si>
    <t>$A$8</t>
  </si>
  <si>
    <t>$B$8</t>
  </si>
  <si>
    <t>$C$8</t>
  </si>
  <si>
    <t>$D$8</t>
  </si>
  <si>
    <t>$E$8</t>
  </si>
  <si>
    <t>$F$8</t>
  </si>
  <si>
    <t>$B$23</t>
  </si>
  <si>
    <t>Whole Quality Whole B</t>
  </si>
  <si>
    <t>$B$24</t>
  </si>
  <si>
    <t>Juice Quality Whole B</t>
  </si>
  <si>
    <t>$B$25</t>
  </si>
  <si>
    <t>Paste Quality Whole B</t>
  </si>
  <si>
    <t>$B$27</t>
  </si>
  <si>
    <t>Juice Demand Whole B</t>
  </si>
  <si>
    <t>$B$28</t>
  </si>
  <si>
    <t>Paste Demand Whole B</t>
  </si>
  <si>
    <t>$B$29</t>
  </si>
  <si>
    <t>Whole Demand Whole B</t>
  </si>
  <si>
    <t>$B$33</t>
  </si>
  <si>
    <t>Grade A Supply Whole B</t>
  </si>
  <si>
    <t>$B$34</t>
  </si>
  <si>
    <t>Grade B Supply Whole B</t>
  </si>
  <si>
    <t>$A$8:$F$8</t>
  </si>
  <si>
    <t>$B$23:$B$25 &gt;= $D$23:$D$25</t>
  </si>
  <si>
    <t>Microsoft Excel 16.103 Sensitivity Report</t>
  </si>
  <si>
    <t>Final</t>
  </si>
  <si>
    <t>Value</t>
  </si>
  <si>
    <t>Reduced</t>
  </si>
  <si>
    <t>Cost</t>
  </si>
  <si>
    <t>Objective</t>
  </si>
  <si>
    <t>Coefficient</t>
  </si>
  <si>
    <t>Allowable</t>
  </si>
  <si>
    <t>Increase</t>
  </si>
  <si>
    <t>Decrease</t>
  </si>
  <si>
    <t>Shadow</t>
  </si>
  <si>
    <t>Price</t>
  </si>
  <si>
    <t>Constraint</t>
  </si>
  <si>
    <t>R.H. Side</t>
  </si>
  <si>
    <t>Report Created: 2/19/26 10:09:46 PM</t>
  </si>
  <si>
    <t>Report Created: 2/19/26 10:19:34 PM</t>
  </si>
  <si>
    <t>Whole Profit (0.06 removed from profit as it is a sunk cost)</t>
  </si>
  <si>
    <r>
      <t>Changed the coefficients of the objective functions to what were calculated in E13, E15, and E17.</t>
    </r>
    <r>
      <rPr>
        <b/>
        <sz val="11"/>
        <color theme="1"/>
        <rFont val="Aptos Narrow"/>
        <scheme val="minor"/>
      </rPr>
      <t xml:space="preserve"> --&gt;</t>
    </r>
  </si>
  <si>
    <r>
      <t xml:space="preserve">Is it for additional Grade A tomatoes? </t>
    </r>
    <r>
      <rPr>
        <b/>
        <sz val="11"/>
        <color theme="1"/>
        <rFont val="Aptos Narrow"/>
        <scheme val="minor"/>
      </rPr>
      <t>--&gt;</t>
    </r>
    <r>
      <rPr>
        <sz val="11"/>
        <color theme="1"/>
        <rFont val="Aptos Narrow"/>
        <family val="2"/>
        <scheme val="minor"/>
      </rPr>
      <t xml:space="preserve"> </t>
    </r>
  </si>
  <si>
    <t>Realized Profit or Net Profit:</t>
  </si>
  <si>
    <t>Microsoft Excel 16.0 Sensitivity Report</t>
  </si>
  <si>
    <t>Worksheet: [RBC_Excel - Marissa Solution.xlsx]Solver - Solution</t>
  </si>
  <si>
    <t>Report Created: 2/25/2026 4:29:47 PM</t>
  </si>
  <si>
    <t>$B$26</t>
  </si>
  <si>
    <t>$B$30</t>
  </si>
  <si>
    <t>$B$35</t>
  </si>
  <si>
    <t>Whole Tomatoes Quality constraint</t>
  </si>
  <si>
    <t>Juice Boxes Quality</t>
  </si>
  <si>
    <t>Paste Boxes Quality</t>
  </si>
  <si>
    <t>Whole Tomatoes Quality</t>
  </si>
  <si>
    <t>Juice Boxes Demand</t>
  </si>
  <si>
    <t>Paste Boxes Demand</t>
  </si>
  <si>
    <t>Whole Tomatoes Demand</t>
  </si>
  <si>
    <t>Worksheet: [RBC_Excel - Marissa Solution.xlsx]Solver - Solution 2</t>
  </si>
  <si>
    <t>$B$31</t>
  </si>
  <si>
    <t>Constraints.</t>
  </si>
  <si>
    <t>Report Created: 2/25/2026 4:53:10 PM</t>
  </si>
  <si>
    <t>Whole Quality Constraints.</t>
  </si>
  <si>
    <t>Juice Quality Constraints.</t>
  </si>
  <si>
    <t>Juice Demand Constraints.</t>
  </si>
  <si>
    <t>Paste Demand Constraints.</t>
  </si>
  <si>
    <t>Grade A Supply Constraints.</t>
  </si>
  <si>
    <t>Grade B Supply Constraints.</t>
  </si>
  <si>
    <t>Extra Grade A</t>
  </si>
  <si>
    <t>Whole Extra A</t>
  </si>
  <si>
    <t>Juice Extra A</t>
  </si>
  <si>
    <t>Paste Extra A</t>
  </si>
  <si>
    <t>Profit considering Extra A</t>
  </si>
  <si>
    <t>Worksheet: [RBC_Excel - Marissa Solution.xlsx]Solver - Solution 3 (New A)</t>
  </si>
  <si>
    <t>Report Created: 2/25/2026 5:10:08 PM</t>
  </si>
  <si>
    <t>$G$8</t>
  </si>
  <si>
    <t>$H$8</t>
  </si>
  <si>
    <t>$I$8</t>
  </si>
  <si>
    <t>Extra Grade A Constraints.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</si>
</sst>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8" formatCode="&quot;$&quot;#,##0.00_);[Red]\(&quot;$&quot;#,##0.00\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&quot;$&quot;#,##0.0000_);[Red]\(&quot;$&quot;#,##0.0000\)"/>
  </numFmts>
  <fonts count="14">
    <font>
      <sz val="12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2"/>
      <color rgb="FF000000"/>
      <name val="Calibri"/>
      <family val="2"/>
    </font>
    <font>
      <sz val="12"/>
      <color rgb="FF000000"/>
      <name val="Calibri"/>
      <family val="2"/>
    </font>
    <font>
      <b/>
      <sz val="11"/>
      <color theme="1"/>
      <name val="Aptos Narrow"/>
      <scheme val="minor"/>
    </font>
    <font>
      <b/>
      <sz val="12"/>
      <color theme="1"/>
      <name val="Aptos Narrow"/>
      <scheme val="minor"/>
    </font>
    <font>
      <b/>
      <sz val="12"/>
      <color indexed="18"/>
      <name val="Aptos Narrow"/>
      <family val="2"/>
      <scheme val="minor"/>
    </font>
    <font>
      <b/>
      <sz val="12"/>
      <name val="Aptos Narrow"/>
      <scheme val="minor"/>
    </font>
    <font>
      <b/>
      <sz val="11"/>
      <color rgb="FF000000"/>
      <name val="Aptos Narrow"/>
      <family val="2"/>
      <scheme val="minor"/>
    </font>
    <font>
      <sz val="11"/>
      <color rgb="FF000000"/>
      <name val="Aptos Narrow"/>
      <family val="2"/>
      <scheme val="minor"/>
    </font>
    <font>
      <b/>
      <sz val="12"/>
      <color indexed="18"/>
      <name val="Aptos Narrow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E7E6E6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theme="8" tint="0.59999389629810485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indexed="23"/>
      </top>
      <bottom/>
      <diagonal/>
    </border>
    <border>
      <left/>
      <right/>
      <top/>
      <bottom style="medium">
        <color indexed="23"/>
      </bottom>
      <diagonal/>
    </border>
    <border>
      <left/>
      <right/>
      <top style="thin">
        <color indexed="23"/>
      </top>
      <bottom style="medium">
        <color indexed="23"/>
      </bottom>
      <diagonal/>
    </border>
    <border>
      <left/>
      <right/>
      <top style="thin">
        <color indexed="23"/>
      </top>
      <bottom/>
      <diagonal/>
    </border>
  </borders>
  <cellStyleXfs count="3">
    <xf numFmtId="0" fontId="0" fillId="0" borderId="0"/>
    <xf numFmtId="43" fontId="2" fillId="0" borderId="0" applyFont="0" applyFill="0" applyBorder="0" applyAlignment="0" applyProtection="0"/>
    <xf numFmtId="0" fontId="3" fillId="0" borderId="0"/>
  </cellStyleXfs>
  <cellXfs count="61">
    <xf numFmtId="0" fontId="0" fillId="0" borderId="0" xfId="0"/>
    <xf numFmtId="0" fontId="3" fillId="0" borderId="0" xfId="2"/>
    <xf numFmtId="3" fontId="3" fillId="0" borderId="0" xfId="2" applyNumberFormat="1"/>
    <xf numFmtId="0" fontId="4" fillId="0" borderId="0" xfId="2" applyFont="1" applyAlignment="1">
      <alignment horizontal="center"/>
    </xf>
    <xf numFmtId="0" fontId="4" fillId="2" borderId="0" xfId="2" applyFont="1" applyFill="1" applyAlignment="1">
      <alignment horizontal="center" wrapText="1"/>
    </xf>
    <xf numFmtId="0" fontId="4" fillId="0" borderId="0" xfId="2" applyFont="1"/>
    <xf numFmtId="0" fontId="4" fillId="0" borderId="0" xfId="2" applyFont="1" applyAlignment="1">
      <alignment horizontal="left" wrapText="1"/>
    </xf>
    <xf numFmtId="0" fontId="5" fillId="0" borderId="0" xfId="2" applyFont="1" applyAlignment="1">
      <alignment vertical="center" wrapText="1"/>
    </xf>
    <xf numFmtId="0" fontId="6" fillId="0" borderId="0" xfId="2" applyFont="1" applyAlignment="1">
      <alignment horizontal="right" vertical="center" wrapText="1"/>
    </xf>
    <xf numFmtId="3" fontId="6" fillId="0" borderId="0" xfId="2" applyNumberFormat="1" applyFont="1" applyAlignment="1">
      <alignment horizontal="right" vertical="center" wrapText="1"/>
    </xf>
    <xf numFmtId="8" fontId="6" fillId="0" borderId="0" xfId="2" applyNumberFormat="1" applyFont="1" applyAlignment="1">
      <alignment vertical="center" wrapText="1"/>
    </xf>
    <xf numFmtId="0" fontId="6" fillId="0" borderId="0" xfId="2" applyFont="1" applyAlignment="1">
      <alignment vertical="center" wrapText="1"/>
    </xf>
    <xf numFmtId="0" fontId="6" fillId="0" borderId="5" xfId="2" applyFont="1" applyBorder="1" applyAlignment="1">
      <alignment horizontal="right" vertical="center" wrapText="1"/>
    </xf>
    <xf numFmtId="3" fontId="6" fillId="0" borderId="5" xfId="2" applyNumberFormat="1" applyFont="1" applyBorder="1" applyAlignment="1">
      <alignment horizontal="right" vertical="center" wrapText="1"/>
    </xf>
    <xf numFmtId="8" fontId="6" fillId="0" borderId="5" xfId="2" applyNumberFormat="1" applyFont="1" applyBorder="1" applyAlignment="1">
      <alignment vertical="center" wrapText="1"/>
    </xf>
    <xf numFmtId="0" fontId="6" fillId="0" borderId="6" xfId="2" applyFont="1" applyBorder="1" applyAlignment="1">
      <alignment vertical="center" wrapText="1"/>
    </xf>
    <xf numFmtId="0" fontId="6" fillId="0" borderId="5" xfId="2" applyFont="1" applyBorder="1" applyAlignment="1">
      <alignment vertical="center" wrapText="1"/>
    </xf>
    <xf numFmtId="0" fontId="5" fillId="4" borderId="7" xfId="2" applyFont="1" applyFill="1" applyBorder="1" applyAlignment="1">
      <alignment vertical="center" wrapText="1"/>
    </xf>
    <xf numFmtId="0" fontId="5" fillId="4" borderId="8" xfId="2" applyFont="1" applyFill="1" applyBorder="1" applyAlignment="1">
      <alignment vertical="center" wrapText="1"/>
    </xf>
    <xf numFmtId="44" fontId="3" fillId="0" borderId="0" xfId="2" applyNumberFormat="1"/>
    <xf numFmtId="43" fontId="3" fillId="3" borderId="1" xfId="1" applyFont="1" applyFill="1" applyBorder="1"/>
    <xf numFmtId="8" fontId="3" fillId="5" borderId="0" xfId="2" applyNumberFormat="1" applyFill="1"/>
    <xf numFmtId="0" fontId="4" fillId="5" borderId="0" xfId="2" applyFont="1" applyFill="1"/>
    <xf numFmtId="8" fontId="4" fillId="5" borderId="0" xfId="2" applyNumberFormat="1" applyFont="1" applyFill="1"/>
    <xf numFmtId="44" fontId="7" fillId="3" borderId="0" xfId="2" applyNumberFormat="1" applyFont="1" applyFill="1"/>
    <xf numFmtId="43" fontId="3" fillId="0" borderId="0" xfId="2" applyNumberFormat="1"/>
    <xf numFmtId="0" fontId="8" fillId="0" borderId="0" xfId="0" applyFont="1"/>
    <xf numFmtId="0" fontId="0" fillId="0" borderId="11" xfId="0" applyBorder="1"/>
    <xf numFmtId="0" fontId="0" fillId="0" borderId="12" xfId="0" applyBorder="1"/>
    <xf numFmtId="0" fontId="9" fillId="0" borderId="0" xfId="0" applyFont="1" applyAlignment="1">
      <alignment horizontal="center"/>
    </xf>
    <xf numFmtId="0" fontId="10" fillId="0" borderId="0" xfId="0" applyFont="1" applyAlignment="1">
      <alignment horizontal="left"/>
    </xf>
    <xf numFmtId="0" fontId="9" fillId="0" borderId="9" xfId="0" applyFont="1" applyBorder="1" applyAlignment="1">
      <alignment horizontal="center"/>
    </xf>
    <xf numFmtId="0" fontId="9" fillId="0" borderId="10" xfId="0" applyFont="1" applyBorder="1" applyAlignment="1">
      <alignment horizontal="center"/>
    </xf>
    <xf numFmtId="43" fontId="3" fillId="0" borderId="0" xfId="1" applyFont="1"/>
    <xf numFmtId="0" fontId="11" fillId="0" borderId="0" xfId="0" applyFont="1" applyAlignment="1">
      <alignment horizontal="left" wrapText="1"/>
    </xf>
    <xf numFmtId="8" fontId="12" fillId="6" borderId="0" xfId="0" applyNumberFormat="1" applyFont="1" applyFill="1"/>
    <xf numFmtId="0" fontId="11" fillId="6" borderId="0" xfId="0" applyFont="1" applyFill="1"/>
    <xf numFmtId="0" fontId="0" fillId="3" borderId="12" xfId="0" applyFill="1" applyBorder="1"/>
    <xf numFmtId="164" fontId="12" fillId="6" borderId="0" xfId="0" applyNumberFormat="1" applyFont="1" applyFill="1"/>
    <xf numFmtId="0" fontId="1" fillId="0" borderId="0" xfId="2" applyFont="1"/>
    <xf numFmtId="0" fontId="7" fillId="7" borderId="0" xfId="2" applyFont="1" applyFill="1"/>
    <xf numFmtId="0" fontId="1" fillId="0" borderId="0" xfId="2" applyFont="1" applyAlignment="1">
      <alignment wrapText="1"/>
    </xf>
    <xf numFmtId="44" fontId="7" fillId="7" borderId="0" xfId="2" applyNumberFormat="1" applyFont="1" applyFill="1"/>
    <xf numFmtId="3" fontId="3" fillId="7" borderId="0" xfId="2" applyNumberFormat="1" applyFill="1"/>
    <xf numFmtId="0" fontId="13" fillId="0" borderId="9" xfId="0" applyFont="1" applyBorder="1" applyAlignment="1">
      <alignment horizontal="center"/>
    </xf>
    <xf numFmtId="0" fontId="13" fillId="0" borderId="10" xfId="0" applyFont="1" applyBorder="1" applyAlignment="1">
      <alignment horizontal="center"/>
    </xf>
    <xf numFmtId="0" fontId="0" fillId="7" borderId="12" xfId="0" applyFill="1" applyBorder="1"/>
    <xf numFmtId="43" fontId="3" fillId="7" borderId="1" xfId="2" applyNumberFormat="1" applyFill="1" applyBorder="1"/>
    <xf numFmtId="0" fontId="3" fillId="7" borderId="1" xfId="2" applyFill="1" applyBorder="1"/>
    <xf numFmtId="0" fontId="7" fillId="0" borderId="0" xfId="2" applyFont="1" applyAlignment="1">
      <alignment wrapText="1"/>
    </xf>
    <xf numFmtId="164" fontId="3" fillId="0" borderId="0" xfId="2" applyNumberFormat="1"/>
    <xf numFmtId="0" fontId="8" fillId="7" borderId="11" xfId="0" applyFont="1" applyFill="1" applyBorder="1"/>
    <xf numFmtId="8" fontId="4" fillId="0" borderId="0" xfId="2" applyNumberFormat="1" applyFont="1"/>
    <xf numFmtId="0" fontId="7" fillId="0" borderId="0" xfId="2" applyFont="1"/>
    <xf numFmtId="0" fontId="4" fillId="0" borderId="0" xfId="2" applyFont="1" applyAlignment="1">
      <alignment horizontal="center"/>
    </xf>
    <xf numFmtId="0" fontId="5" fillId="0" borderId="4" xfId="2" applyFont="1" applyBorder="1" applyAlignment="1">
      <alignment horizontal="center" vertical="center" wrapText="1"/>
    </xf>
    <xf numFmtId="0" fontId="5" fillId="0" borderId="3" xfId="2" applyFont="1" applyBorder="1" applyAlignment="1">
      <alignment horizontal="center" vertical="center" wrapText="1"/>
    </xf>
    <xf numFmtId="0" fontId="5" fillId="0" borderId="2" xfId="2" applyFont="1" applyBorder="1" applyAlignment="1">
      <alignment horizontal="center" vertical="center" wrapText="1"/>
    </xf>
    <xf numFmtId="0" fontId="4" fillId="2" borderId="0" xfId="2" applyFont="1" applyFill="1" applyAlignment="1">
      <alignment horizontal="center"/>
    </xf>
    <xf numFmtId="0" fontId="4" fillId="2" borderId="0" xfId="2" applyFont="1" applyFill="1" applyAlignment="1">
      <alignment horizontal="center" wrapText="1"/>
    </xf>
    <xf numFmtId="0" fontId="4" fillId="0" borderId="0" xfId="2" applyFont="1" applyAlignment="1">
      <alignment horizontal="center" vertical="center"/>
    </xf>
  </cellXfs>
  <cellStyles count="3">
    <cellStyle name="Comma" xfId="1" builtinId="3"/>
    <cellStyle name="Normal" xfId="0" builtinId="0"/>
    <cellStyle name="Normal 2" xfId="2" xr:uid="{D554E2FE-B66F-294E-8368-551413B756A4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9E9B96-55B4-554F-8D9D-8AF10C5FA8C2}">
  <dimension ref="A1:H30"/>
  <sheetViews>
    <sheetView showGridLines="0" workbookViewId="0">
      <selection activeCell="E30" sqref="E30"/>
    </sheetView>
  </sheetViews>
  <sheetFormatPr baseColWidth="10" defaultColWidth="11.5" defaultRowHeight="16" outlineLevelRow="1"/>
  <cols>
    <col min="1" max="1" width="2.33203125" customWidth="1"/>
    <col min="2" max="2" width="6.33203125" bestFit="1" customWidth="1"/>
    <col min="3" max="3" width="20.6640625" bestFit="1" customWidth="1"/>
    <col min="4" max="4" width="9.1640625" bestFit="1" customWidth="1"/>
    <col min="5" max="5" width="8.33203125" bestFit="1" customWidth="1"/>
    <col min="6" max="6" width="10.5" bestFit="1" customWidth="1"/>
    <col min="7" max="8" width="12.1640625" bestFit="1" customWidth="1"/>
  </cols>
  <sheetData>
    <row r="1" spans="1:8">
      <c r="A1" s="26" t="s">
        <v>65</v>
      </c>
    </row>
    <row r="2" spans="1:8">
      <c r="A2" s="26" t="s">
        <v>37</v>
      </c>
    </row>
    <row r="3" spans="1:8">
      <c r="A3" s="26" t="s">
        <v>79</v>
      </c>
    </row>
    <row r="6" spans="1:8" ht="17" thickBot="1">
      <c r="A6" t="s">
        <v>40</v>
      </c>
    </row>
    <row r="7" spans="1:8">
      <c r="B7" s="31"/>
      <c r="C7" s="31"/>
      <c r="D7" s="31" t="s">
        <v>66</v>
      </c>
      <c r="E7" s="31" t="s">
        <v>68</v>
      </c>
      <c r="F7" s="31" t="s">
        <v>70</v>
      </c>
      <c r="G7" s="31" t="s">
        <v>72</v>
      </c>
      <c r="H7" s="31" t="s">
        <v>72</v>
      </c>
    </row>
    <row r="8" spans="1:8" ht="17" thickBot="1">
      <c r="B8" s="32" t="s">
        <v>38</v>
      </c>
      <c r="C8" s="32" t="s">
        <v>39</v>
      </c>
      <c r="D8" s="32" t="s">
        <v>67</v>
      </c>
      <c r="E8" s="32" t="s">
        <v>69</v>
      </c>
      <c r="F8" s="32" t="s">
        <v>71</v>
      </c>
      <c r="G8" s="32" t="s">
        <v>73</v>
      </c>
      <c r="H8" s="32" t="s">
        <v>74</v>
      </c>
    </row>
    <row r="9" spans="1:8">
      <c r="B9" s="30" t="s">
        <v>63</v>
      </c>
      <c r="C9" s="29"/>
      <c r="D9" s="29"/>
      <c r="E9" s="29"/>
      <c r="F9" s="29"/>
      <c r="G9" s="29"/>
      <c r="H9" s="29"/>
    </row>
    <row r="10" spans="1:8" hidden="1" outlineLevel="1">
      <c r="B10" s="28" t="s">
        <v>41</v>
      </c>
      <c r="C10" s="28" t="s">
        <v>24</v>
      </c>
      <c r="D10" s="28">
        <v>615000</v>
      </c>
      <c r="E10" s="28">
        <v>0</v>
      </c>
      <c r="F10" s="28">
        <v>0.19</v>
      </c>
      <c r="G10" s="28">
        <v>0.34666666666666646</v>
      </c>
      <c r="H10" s="28">
        <v>5.3333333333333344E-2</v>
      </c>
    </row>
    <row r="11" spans="1:8" hidden="1" outlineLevel="1">
      <c r="B11" s="28" t="s">
        <v>42</v>
      </c>
      <c r="C11" s="28" t="s">
        <v>23</v>
      </c>
      <c r="D11" s="28">
        <v>204999.99999999997</v>
      </c>
      <c r="E11" s="28">
        <v>0</v>
      </c>
      <c r="F11" s="28">
        <v>0.19</v>
      </c>
      <c r="G11" s="28">
        <v>1.0399999999999994</v>
      </c>
      <c r="H11" s="28">
        <v>5.3333333333333378E-2</v>
      </c>
    </row>
    <row r="12" spans="1:8" hidden="1" outlineLevel="1">
      <c r="B12" s="28" t="s">
        <v>43</v>
      </c>
      <c r="C12" s="28" t="s">
        <v>22</v>
      </c>
      <c r="D12" s="28">
        <v>65000.000000000058</v>
      </c>
      <c r="E12" s="28">
        <v>0</v>
      </c>
      <c r="F12" s="28">
        <v>0.15000000000000002</v>
      </c>
      <c r="G12" s="28">
        <v>5.3333333333333344E-2</v>
      </c>
      <c r="H12" s="28">
        <v>0.34666666666666646</v>
      </c>
    </row>
    <row r="13" spans="1:8" hidden="1" outlineLevel="1">
      <c r="B13" s="28" t="s">
        <v>44</v>
      </c>
      <c r="C13" s="28" t="s">
        <v>21</v>
      </c>
      <c r="D13" s="28">
        <v>195000.00000000017</v>
      </c>
      <c r="E13" s="28">
        <v>0</v>
      </c>
      <c r="F13" s="28">
        <v>0.14999999999999991</v>
      </c>
      <c r="G13" s="28">
        <v>2.6666666666666769E-2</v>
      </c>
      <c r="H13" s="28">
        <v>0.11555555555555548</v>
      </c>
    </row>
    <row r="14" spans="1:8" hidden="1" outlineLevel="1">
      <c r="B14" s="28" t="s">
        <v>45</v>
      </c>
      <c r="C14" s="28" t="s">
        <v>20</v>
      </c>
      <c r="D14" s="28">
        <v>0</v>
      </c>
      <c r="E14" s="28">
        <v>0</v>
      </c>
      <c r="F14" s="28">
        <v>0.16000000000000003</v>
      </c>
      <c r="G14" s="28">
        <v>8.0000000000000071E-2</v>
      </c>
      <c r="H14" s="28">
        <v>1E+30</v>
      </c>
    </row>
    <row r="15" spans="1:8" ht="17" hidden="1" outlineLevel="1" thickBot="1">
      <c r="B15" s="27" t="s">
        <v>46</v>
      </c>
      <c r="C15" s="27" t="s">
        <v>19</v>
      </c>
      <c r="D15" s="27">
        <v>2000000</v>
      </c>
      <c r="E15" s="27">
        <v>0</v>
      </c>
      <c r="F15" s="27">
        <v>0.16000000000000003</v>
      </c>
      <c r="G15" s="27">
        <v>1E+30</v>
      </c>
      <c r="H15" s="27">
        <v>3.0000000000000117E-2</v>
      </c>
    </row>
    <row r="16" spans="1:8" collapsed="1"/>
    <row r="18" spans="1:8" ht="17" thickBot="1">
      <c r="A18" t="s">
        <v>13</v>
      </c>
    </row>
    <row r="19" spans="1:8">
      <c r="B19" s="31"/>
      <c r="C19" s="31"/>
      <c r="D19" s="31" t="s">
        <v>66</v>
      </c>
      <c r="E19" s="31" t="s">
        <v>75</v>
      </c>
      <c r="F19" s="31" t="s">
        <v>77</v>
      </c>
      <c r="G19" s="31" t="s">
        <v>72</v>
      </c>
      <c r="H19" s="31" t="s">
        <v>72</v>
      </c>
    </row>
    <row r="20" spans="1:8" ht="17" thickBot="1">
      <c r="B20" s="32" t="s">
        <v>38</v>
      </c>
      <c r="C20" s="32" t="s">
        <v>39</v>
      </c>
      <c r="D20" s="32" t="s">
        <v>67</v>
      </c>
      <c r="E20" s="32" t="s">
        <v>76</v>
      </c>
      <c r="F20" s="32" t="s">
        <v>78</v>
      </c>
      <c r="G20" s="32" t="s">
        <v>73</v>
      </c>
      <c r="H20" s="32" t="s">
        <v>74</v>
      </c>
    </row>
    <row r="21" spans="1:8">
      <c r="B21" s="30" t="s">
        <v>64</v>
      </c>
      <c r="C21" s="29"/>
      <c r="D21" s="29"/>
      <c r="E21" s="29"/>
      <c r="F21" s="29"/>
      <c r="G21" s="29"/>
      <c r="H21" s="29"/>
    </row>
    <row r="22" spans="1:8" hidden="1" outlineLevel="1">
      <c r="B22" s="28" t="s">
        <v>47</v>
      </c>
      <c r="C22" s="28" t="s">
        <v>48</v>
      </c>
      <c r="D22" s="28">
        <v>6560000</v>
      </c>
      <c r="E22" s="28">
        <v>-2.0000000000000018E-2</v>
      </c>
      <c r="F22" s="28">
        <v>0</v>
      </c>
      <c r="G22" s="28">
        <v>546666.66666666663</v>
      </c>
      <c r="H22" s="28">
        <v>520000.00000000047</v>
      </c>
    </row>
    <row r="23" spans="1:8" hidden="1" outlineLevel="1">
      <c r="B23" s="28" t="s">
        <v>49</v>
      </c>
      <c r="C23" s="28" t="s">
        <v>50</v>
      </c>
      <c r="D23" s="28">
        <v>1560000.0000000014</v>
      </c>
      <c r="E23" s="28">
        <v>-2.0000000000000004E-2</v>
      </c>
      <c r="F23" s="28">
        <v>0</v>
      </c>
      <c r="G23" s="28">
        <v>1479999.9999999995</v>
      </c>
      <c r="H23" s="28">
        <v>173333.33333333349</v>
      </c>
    </row>
    <row r="24" spans="1:8" hidden="1" outlineLevel="1">
      <c r="B24" s="28" t="s">
        <v>51</v>
      </c>
      <c r="C24" s="28" t="s">
        <v>52</v>
      </c>
      <c r="D24" s="28">
        <v>10000000</v>
      </c>
      <c r="E24" s="28">
        <v>-2.0000000000000018E-2</v>
      </c>
      <c r="F24" s="28">
        <v>0</v>
      </c>
      <c r="G24" s="28">
        <v>1479999.9999999995</v>
      </c>
      <c r="H24" s="28">
        <v>0</v>
      </c>
    </row>
    <row r="25" spans="1:8" collapsed="1">
      <c r="B25" s="28"/>
      <c r="C25" s="28"/>
      <c r="D25" s="28"/>
      <c r="E25" s="28"/>
      <c r="F25" s="28"/>
      <c r="G25" s="28"/>
      <c r="H25" s="28"/>
    </row>
    <row r="26" spans="1:8">
      <c r="B26" s="28" t="s">
        <v>53</v>
      </c>
      <c r="C26" s="28" t="s">
        <v>54</v>
      </c>
      <c r="D26" s="28">
        <v>260000.00000000023</v>
      </c>
      <c r="E26" s="28">
        <v>0</v>
      </c>
      <c r="F26" s="28">
        <v>1000000</v>
      </c>
      <c r="G26" s="28">
        <v>1E+30</v>
      </c>
      <c r="H26" s="28">
        <v>739999.99999999977</v>
      </c>
    </row>
    <row r="27" spans="1:8">
      <c r="B27" s="28" t="s">
        <v>55</v>
      </c>
      <c r="C27" s="28" t="s">
        <v>56</v>
      </c>
      <c r="D27" s="28">
        <v>2000000</v>
      </c>
      <c r="E27" s="28">
        <v>3.0000000000000117E-2</v>
      </c>
      <c r="F27" s="28">
        <v>2000000</v>
      </c>
      <c r="G27" s="28">
        <v>173333.33333333349</v>
      </c>
      <c r="H27" s="28">
        <v>493333.3333333332</v>
      </c>
    </row>
    <row r="28" spans="1:8">
      <c r="B28" s="28" t="s">
        <v>57</v>
      </c>
      <c r="C28" s="28" t="s">
        <v>58</v>
      </c>
      <c r="D28" s="28">
        <v>820000</v>
      </c>
      <c r="E28" s="28">
        <v>0</v>
      </c>
      <c r="F28" s="28">
        <v>0</v>
      </c>
      <c r="G28" s="28">
        <v>819999.99999999988</v>
      </c>
      <c r="H28" s="28">
        <v>1E+30</v>
      </c>
    </row>
    <row r="29" spans="1:8">
      <c r="B29" s="28" t="s">
        <v>59</v>
      </c>
      <c r="C29" s="28" t="s">
        <v>60</v>
      </c>
      <c r="D29" s="37">
        <v>680000</v>
      </c>
      <c r="E29" s="37">
        <v>0.21</v>
      </c>
      <c r="F29" s="28">
        <v>680000</v>
      </c>
      <c r="G29" s="28">
        <v>520000.00000000047</v>
      </c>
      <c r="H29" s="28">
        <v>546666.66666666663</v>
      </c>
    </row>
    <row r="30" spans="1:8" ht="17" thickBot="1">
      <c r="B30" s="27" t="s">
        <v>61</v>
      </c>
      <c r="C30" s="27" t="s">
        <v>62</v>
      </c>
      <c r="D30" s="27">
        <v>2400000</v>
      </c>
      <c r="E30" s="27">
        <v>0.12999999999999992</v>
      </c>
      <c r="F30" s="27">
        <v>2400000</v>
      </c>
      <c r="G30" s="27">
        <v>493333.3333333332</v>
      </c>
      <c r="H30" s="27">
        <v>173333.33333333349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D9C7B0-4C75-414B-B2F7-2573084AE8FD}">
  <dimension ref="A1:H30"/>
  <sheetViews>
    <sheetView showGridLines="0" workbookViewId="0">
      <selection activeCell="D41" sqref="D41"/>
    </sheetView>
  </sheetViews>
  <sheetFormatPr baseColWidth="10" defaultColWidth="11.5" defaultRowHeight="16" outlineLevelRow="1"/>
  <cols>
    <col min="1" max="1" width="2.33203125" customWidth="1"/>
    <col min="2" max="2" width="6.33203125" bestFit="1" customWidth="1"/>
    <col min="3" max="3" width="20.6640625" bestFit="1" customWidth="1"/>
    <col min="4" max="4" width="9.1640625" bestFit="1" customWidth="1"/>
    <col min="5" max="5" width="8.33203125" bestFit="1" customWidth="1"/>
    <col min="6" max="6" width="10.5" bestFit="1" customWidth="1"/>
    <col min="7" max="8" width="12.1640625" bestFit="1" customWidth="1"/>
  </cols>
  <sheetData>
    <row r="1" spans="1:8">
      <c r="A1" s="26" t="s">
        <v>65</v>
      </c>
    </row>
    <row r="2" spans="1:8">
      <c r="A2" s="26" t="s">
        <v>37</v>
      </c>
    </row>
    <row r="3" spans="1:8">
      <c r="A3" s="26" t="s">
        <v>80</v>
      </c>
    </row>
    <row r="6" spans="1:8" ht="17" thickBot="1">
      <c r="A6" t="s">
        <v>40</v>
      </c>
    </row>
    <row r="7" spans="1:8">
      <c r="B7" s="31"/>
      <c r="C7" s="31"/>
      <c r="D7" s="31" t="s">
        <v>66</v>
      </c>
      <c r="E7" s="31" t="s">
        <v>68</v>
      </c>
      <c r="F7" s="31" t="s">
        <v>70</v>
      </c>
      <c r="G7" s="31" t="s">
        <v>72</v>
      </c>
      <c r="H7" s="31" t="s">
        <v>72</v>
      </c>
    </row>
    <row r="8" spans="1:8" ht="17" thickBot="1">
      <c r="B8" s="32" t="s">
        <v>38</v>
      </c>
      <c r="C8" s="32" t="s">
        <v>39</v>
      </c>
      <c r="D8" s="32" t="s">
        <v>67</v>
      </c>
      <c r="E8" s="32" t="s">
        <v>69</v>
      </c>
      <c r="F8" s="32" t="s">
        <v>71</v>
      </c>
      <c r="G8" s="32" t="s">
        <v>73</v>
      </c>
      <c r="H8" s="32" t="s">
        <v>74</v>
      </c>
    </row>
    <row r="9" spans="1:8">
      <c r="B9" s="30" t="s">
        <v>63</v>
      </c>
      <c r="C9" s="29"/>
      <c r="D9" s="29"/>
      <c r="E9" s="29"/>
      <c r="F9" s="29"/>
      <c r="G9" s="29"/>
      <c r="H9" s="29"/>
    </row>
    <row r="10" spans="1:8" hidden="1" outlineLevel="1">
      <c r="B10" s="28" t="s">
        <v>41</v>
      </c>
      <c r="C10" s="28" t="s">
        <v>24</v>
      </c>
      <c r="D10" s="28">
        <v>525000</v>
      </c>
      <c r="E10" s="28">
        <v>0</v>
      </c>
      <c r="F10" s="28">
        <v>0.19</v>
      </c>
      <c r="G10" s="28">
        <v>0.3066666666666667</v>
      </c>
      <c r="H10" s="28">
        <v>6.6666666666666555E-2</v>
      </c>
    </row>
    <row r="11" spans="1:8" hidden="1" outlineLevel="1">
      <c r="B11" s="28" t="s">
        <v>42</v>
      </c>
      <c r="C11" s="28" t="s">
        <v>23</v>
      </c>
      <c r="D11" s="28">
        <v>175000</v>
      </c>
      <c r="E11" s="28">
        <v>0</v>
      </c>
      <c r="F11" s="28">
        <v>0.19</v>
      </c>
      <c r="G11" s="28">
        <v>0.92</v>
      </c>
      <c r="H11" s="28">
        <v>6.6666666666666638E-2</v>
      </c>
    </row>
    <row r="12" spans="1:8" hidden="1" outlineLevel="1">
      <c r="B12" s="28" t="s">
        <v>43</v>
      </c>
      <c r="C12" s="28" t="s">
        <v>22</v>
      </c>
      <c r="D12" s="28">
        <v>75000</v>
      </c>
      <c r="E12" s="28">
        <v>0</v>
      </c>
      <c r="F12" s="28">
        <v>0.14000000000000001</v>
      </c>
      <c r="G12" s="28">
        <v>6.6666666666666652E-2</v>
      </c>
      <c r="H12" s="28">
        <v>0.3066666666666667</v>
      </c>
    </row>
    <row r="13" spans="1:8" hidden="1" outlineLevel="1">
      <c r="B13" s="28" t="s">
        <v>44</v>
      </c>
      <c r="C13" s="28" t="s">
        <v>21</v>
      </c>
      <c r="D13" s="28">
        <v>225000</v>
      </c>
      <c r="E13" s="28">
        <v>0</v>
      </c>
      <c r="F13" s="28">
        <v>0.14000000000000001</v>
      </c>
      <c r="G13" s="28">
        <v>3.9999999999999925E-2</v>
      </c>
      <c r="H13" s="28">
        <v>0.10222222222222223</v>
      </c>
    </row>
    <row r="14" spans="1:8" hidden="1" outlineLevel="1">
      <c r="B14" s="28" t="s">
        <v>45</v>
      </c>
      <c r="C14" s="28" t="s">
        <v>20</v>
      </c>
      <c r="D14" s="28">
        <v>0</v>
      </c>
      <c r="E14" s="28">
        <v>0</v>
      </c>
      <c r="F14" s="28">
        <v>0.16000000000000003</v>
      </c>
      <c r="G14" s="28">
        <v>9.9999999999999839E-2</v>
      </c>
      <c r="H14" s="28">
        <v>1E+30</v>
      </c>
    </row>
    <row r="15" spans="1:8" ht="17" hidden="1" outlineLevel="1" thickBot="1">
      <c r="B15" s="27" t="s">
        <v>46</v>
      </c>
      <c r="C15" s="27" t="s">
        <v>19</v>
      </c>
      <c r="D15" s="27">
        <v>2000000</v>
      </c>
      <c r="E15" s="27">
        <v>0</v>
      </c>
      <c r="F15" s="27">
        <v>0.15999999999999992</v>
      </c>
      <c r="G15" s="27">
        <v>1E+30</v>
      </c>
      <c r="H15" s="27">
        <v>4.4999999999999915E-2</v>
      </c>
    </row>
    <row r="16" spans="1:8" collapsed="1"/>
    <row r="18" spans="1:8" ht="17" thickBot="1">
      <c r="A18" t="s">
        <v>13</v>
      </c>
    </row>
    <row r="19" spans="1:8">
      <c r="B19" s="31"/>
      <c r="C19" s="31"/>
      <c r="D19" s="31" t="s">
        <v>66</v>
      </c>
      <c r="E19" s="31" t="s">
        <v>75</v>
      </c>
      <c r="F19" s="31" t="s">
        <v>77</v>
      </c>
      <c r="G19" s="31" t="s">
        <v>72</v>
      </c>
      <c r="H19" s="31" t="s">
        <v>72</v>
      </c>
    </row>
    <row r="20" spans="1:8" ht="17" thickBot="1">
      <c r="B20" s="32" t="s">
        <v>38</v>
      </c>
      <c r="C20" s="32" t="s">
        <v>39</v>
      </c>
      <c r="D20" s="32" t="s">
        <v>67</v>
      </c>
      <c r="E20" s="32" t="s">
        <v>76</v>
      </c>
      <c r="F20" s="32" t="s">
        <v>78</v>
      </c>
      <c r="G20" s="32" t="s">
        <v>73</v>
      </c>
      <c r="H20" s="32" t="s">
        <v>74</v>
      </c>
    </row>
    <row r="21" spans="1:8">
      <c r="B21" s="30" t="s">
        <v>64</v>
      </c>
      <c r="C21" s="29"/>
      <c r="D21" s="29"/>
      <c r="E21" s="29"/>
      <c r="F21" s="29"/>
      <c r="G21" s="29"/>
      <c r="H21" s="29"/>
    </row>
    <row r="22" spans="1:8" hidden="1" outlineLevel="1">
      <c r="B22" s="28" t="s">
        <v>47</v>
      </c>
      <c r="C22" s="28" t="s">
        <v>48</v>
      </c>
      <c r="D22" s="28">
        <v>5600000</v>
      </c>
      <c r="E22" s="28">
        <v>-2.4999999999999988E-2</v>
      </c>
      <c r="F22" s="28">
        <v>0</v>
      </c>
      <c r="G22" s="28">
        <v>466666.66666666669</v>
      </c>
      <c r="H22" s="28">
        <v>600000</v>
      </c>
    </row>
    <row r="23" spans="1:8" hidden="1" outlineLevel="1">
      <c r="B23" s="28" t="s">
        <v>49</v>
      </c>
      <c r="C23" s="28" t="s">
        <v>50</v>
      </c>
      <c r="D23" s="28">
        <v>1800000</v>
      </c>
      <c r="E23" s="28">
        <v>-2.4999999999999994E-2</v>
      </c>
      <c r="F23" s="28">
        <v>0</v>
      </c>
      <c r="G23" s="28">
        <v>1400000</v>
      </c>
      <c r="H23" s="28">
        <v>200000</v>
      </c>
    </row>
    <row r="24" spans="1:8" hidden="1" outlineLevel="1">
      <c r="B24" s="28" t="s">
        <v>51</v>
      </c>
      <c r="C24" s="28" t="s">
        <v>52</v>
      </c>
      <c r="D24" s="28">
        <v>10000000</v>
      </c>
      <c r="E24" s="28">
        <v>-2.499999999999996E-2</v>
      </c>
      <c r="F24" s="28">
        <v>0</v>
      </c>
      <c r="G24" s="28">
        <v>1400000</v>
      </c>
      <c r="H24" s="28">
        <v>0</v>
      </c>
    </row>
    <row r="25" spans="1:8" collapsed="1">
      <c r="B25" s="28"/>
      <c r="C25" s="28"/>
      <c r="D25" s="28"/>
      <c r="E25" s="28"/>
      <c r="F25" s="28"/>
      <c r="G25" s="28"/>
      <c r="H25" s="28"/>
    </row>
    <row r="26" spans="1:8">
      <c r="B26" s="28" t="s">
        <v>53</v>
      </c>
      <c r="C26" s="28" t="s">
        <v>54</v>
      </c>
      <c r="D26" s="28">
        <v>300000</v>
      </c>
      <c r="E26" s="28">
        <v>0</v>
      </c>
      <c r="F26" s="28">
        <v>1000000</v>
      </c>
      <c r="G26" s="28">
        <v>1E+30</v>
      </c>
      <c r="H26" s="28">
        <v>700000</v>
      </c>
    </row>
    <row r="27" spans="1:8">
      <c r="B27" s="28" t="s">
        <v>55</v>
      </c>
      <c r="C27" s="28" t="s">
        <v>56</v>
      </c>
      <c r="D27" s="28">
        <v>2000000</v>
      </c>
      <c r="E27" s="28">
        <v>4.4999999999999915E-2</v>
      </c>
      <c r="F27" s="28">
        <v>2000000</v>
      </c>
      <c r="G27" s="28">
        <v>200000</v>
      </c>
      <c r="H27" s="28">
        <v>466666.66666666669</v>
      </c>
    </row>
    <row r="28" spans="1:8">
      <c r="B28" s="28" t="s">
        <v>57</v>
      </c>
      <c r="C28" s="28" t="s">
        <v>58</v>
      </c>
      <c r="D28" s="28">
        <v>700000</v>
      </c>
      <c r="E28" s="28">
        <v>0</v>
      </c>
      <c r="F28" s="28">
        <v>0</v>
      </c>
      <c r="G28" s="28">
        <v>700000</v>
      </c>
      <c r="H28" s="28">
        <v>1E+30</v>
      </c>
    </row>
    <row r="29" spans="1:8">
      <c r="B29" s="28" t="s">
        <v>59</v>
      </c>
      <c r="C29" s="28" t="s">
        <v>60</v>
      </c>
      <c r="D29" s="37">
        <v>600000</v>
      </c>
      <c r="E29" s="37">
        <v>0.21499999999999997</v>
      </c>
      <c r="F29" s="28">
        <v>600000</v>
      </c>
      <c r="G29" s="28">
        <v>600000</v>
      </c>
      <c r="H29" s="28">
        <v>466666.66666666669</v>
      </c>
    </row>
    <row r="30" spans="1:8" ht="17" thickBot="1">
      <c r="B30" s="27" t="s">
        <v>61</v>
      </c>
      <c r="C30" s="27" t="s">
        <v>62</v>
      </c>
      <c r="D30" s="27">
        <v>2400000</v>
      </c>
      <c r="E30" s="27">
        <v>0.115</v>
      </c>
      <c r="F30" s="27">
        <v>2400000</v>
      </c>
      <c r="G30" s="27">
        <v>466666.66666666669</v>
      </c>
      <c r="H30" s="27">
        <v>200000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ADC207-1669-744A-A88C-495188AEC697}">
  <dimension ref="A1:H34"/>
  <sheetViews>
    <sheetView topLeftCell="A4" workbookViewId="0">
      <selection activeCell="C12" sqref="C12"/>
    </sheetView>
  </sheetViews>
  <sheetFormatPr baseColWidth="10" defaultColWidth="10.83203125" defaultRowHeight="15"/>
  <cols>
    <col min="1" max="1" width="16.1640625" style="1" customWidth="1"/>
    <col min="2" max="2" width="12.33203125" style="1" bestFit="1" customWidth="1"/>
    <col min="3" max="3" width="14.83203125" style="1" customWidth="1"/>
    <col min="4" max="4" width="11.1640625" style="1" bestFit="1" customWidth="1"/>
    <col min="5" max="5" width="11" style="1" bestFit="1" customWidth="1"/>
    <col min="6" max="6" width="12.6640625" style="1" bestFit="1" customWidth="1"/>
    <col min="7" max="7" width="11.1640625" style="1" bestFit="1" customWidth="1"/>
    <col min="8" max="16384" width="10.83203125" style="1"/>
  </cols>
  <sheetData>
    <row r="1" spans="1:8" ht="98" customHeight="1" thickBot="1">
      <c r="A1" s="18" t="s">
        <v>35</v>
      </c>
      <c r="B1" s="17" t="s">
        <v>34</v>
      </c>
      <c r="C1" s="17" t="s">
        <v>33</v>
      </c>
      <c r="D1" s="17" t="s">
        <v>32</v>
      </c>
      <c r="E1" s="17" t="s">
        <v>31</v>
      </c>
      <c r="F1" s="17" t="s">
        <v>30</v>
      </c>
    </row>
    <row r="2" spans="1:8" ht="18" thickBot="1">
      <c r="A2" s="15" t="s">
        <v>29</v>
      </c>
      <c r="B2" s="14">
        <v>12</v>
      </c>
      <c r="C2" s="12">
        <v>18</v>
      </c>
      <c r="D2" s="14">
        <v>7.56</v>
      </c>
      <c r="E2" s="16" t="s">
        <v>28</v>
      </c>
      <c r="F2" s="12">
        <v>8</v>
      </c>
    </row>
    <row r="3" spans="1:8" ht="18" thickBot="1">
      <c r="A3" s="15" t="s">
        <v>27</v>
      </c>
      <c r="B3" s="14">
        <v>13.5</v>
      </c>
      <c r="C3" s="12">
        <v>20</v>
      </c>
      <c r="D3" s="14">
        <v>9.5399999999999991</v>
      </c>
      <c r="E3" s="13">
        <v>50000</v>
      </c>
      <c r="F3" s="12">
        <v>6</v>
      </c>
    </row>
    <row r="4" spans="1:8" ht="18" thickBot="1">
      <c r="A4" s="15" t="s">
        <v>26</v>
      </c>
      <c r="B4" s="14">
        <v>11.4</v>
      </c>
      <c r="C4" s="12">
        <v>25</v>
      </c>
      <c r="D4" s="14">
        <v>5.85</v>
      </c>
      <c r="E4" s="13">
        <v>80000</v>
      </c>
      <c r="F4" s="12">
        <v>5</v>
      </c>
      <c r="H4" s="33"/>
    </row>
    <row r="5" spans="1:8" ht="17" thickBot="1">
      <c r="A5" s="11"/>
      <c r="B5" s="10"/>
      <c r="C5" s="8"/>
      <c r="D5" s="10"/>
      <c r="E5" s="9"/>
      <c r="F5" s="8"/>
    </row>
    <row r="6" spans="1:8" ht="28" customHeight="1" thickBot="1">
      <c r="A6" s="55" t="s">
        <v>25</v>
      </c>
      <c r="B6" s="56"/>
      <c r="C6" s="56"/>
      <c r="D6" s="56"/>
      <c r="E6" s="56"/>
      <c r="F6" s="57"/>
    </row>
    <row r="7" spans="1:8" ht="17">
      <c r="A7" s="7" t="s">
        <v>24</v>
      </c>
      <c r="B7" s="5" t="s">
        <v>23</v>
      </c>
      <c r="C7" s="5" t="s">
        <v>22</v>
      </c>
      <c r="D7" s="5" t="s">
        <v>21</v>
      </c>
      <c r="E7" s="5" t="s">
        <v>20</v>
      </c>
      <c r="F7" s="5" t="s">
        <v>19</v>
      </c>
    </row>
    <row r="8" spans="1:8">
      <c r="A8" s="20">
        <v>525000</v>
      </c>
      <c r="B8" s="20">
        <v>175000</v>
      </c>
      <c r="C8" s="20">
        <v>75000</v>
      </c>
      <c r="D8" s="20">
        <v>225000</v>
      </c>
      <c r="E8" s="20">
        <v>0</v>
      </c>
      <c r="F8" s="20">
        <v>2000000</v>
      </c>
      <c r="G8" s="25"/>
    </row>
    <row r="10" spans="1:8">
      <c r="A10" s="58" t="s">
        <v>18</v>
      </c>
      <c r="B10" s="58"/>
      <c r="C10" s="58"/>
      <c r="D10" s="58"/>
      <c r="E10" s="58"/>
      <c r="F10" s="58"/>
    </row>
    <row r="11" spans="1:8" ht="16">
      <c r="A11" s="6" t="s">
        <v>17</v>
      </c>
      <c r="C11" s="24">
        <f>0.19*(A8+B8)+0.14*(C8+D8)+0.16*(E8+F8)</f>
        <v>495000</v>
      </c>
      <c r="E11" s="34" t="s">
        <v>17</v>
      </c>
    </row>
    <row r="12" spans="1:8">
      <c r="A12" s="21">
        <f>(12/18-7.56/18)-((A8*0.06+B8*0.12)/(A8+B8))</f>
        <v>0.17166666666666663</v>
      </c>
      <c r="C12" s="19">
        <f>C11-(80000*(0.25-0.06))</f>
        <v>479800</v>
      </c>
      <c r="E12" s="35">
        <f>(12/18) - (7.56/18) - 0.06</f>
        <v>0.18666666666666665</v>
      </c>
    </row>
    <row r="13" spans="1:8">
      <c r="A13" s="22" t="s">
        <v>16</v>
      </c>
      <c r="E13" s="36" t="s">
        <v>16</v>
      </c>
    </row>
    <row r="14" spans="1:8">
      <c r="A14" s="21">
        <f>(13.5/20 - 9.54/20) - ((C8*0.06 + D8*0.12)/(C8+ D8))</f>
        <v>9.3000000000000069E-2</v>
      </c>
      <c r="E14" s="35">
        <f>(13.5/20) - (9.54/20) - 0.06</f>
        <v>0.13800000000000007</v>
      </c>
    </row>
    <row r="15" spans="1:8">
      <c r="A15" s="22" t="s">
        <v>15</v>
      </c>
      <c r="E15" s="36" t="s">
        <v>15</v>
      </c>
    </row>
    <row r="16" spans="1:8">
      <c r="A16" s="21">
        <f>(11.4/25 - 5.85/25) - 0.12</f>
        <v>0.10200000000000004</v>
      </c>
      <c r="E16" s="35">
        <f>(11.4/25) - (5.85/25) - 0.06</f>
        <v>0.16200000000000003</v>
      </c>
    </row>
    <row r="17" spans="1:6">
      <c r="A17" s="22" t="s">
        <v>14</v>
      </c>
    </row>
    <row r="18" spans="1:6">
      <c r="A18" s="23">
        <f>(A12*A8+B8)+(A14*C8+D8)+(A16*E8+F8)</f>
        <v>2497100</v>
      </c>
    </row>
    <row r="20" spans="1:6" ht="16" customHeight="1">
      <c r="A20" s="59" t="s">
        <v>13</v>
      </c>
      <c r="B20" s="59"/>
      <c r="C20" s="59"/>
      <c r="D20" s="59"/>
      <c r="E20" s="59"/>
      <c r="F20" s="59"/>
    </row>
    <row r="22" spans="1:6">
      <c r="A22" s="54" t="s">
        <v>12</v>
      </c>
      <c r="B22" s="54"/>
      <c r="C22" s="54"/>
      <c r="D22" s="54"/>
      <c r="E22" s="54"/>
    </row>
    <row r="23" spans="1:6">
      <c r="A23" s="1" t="s">
        <v>11</v>
      </c>
      <c r="B23" s="25">
        <f>(9*A8)+(5*B8)</f>
        <v>5600000</v>
      </c>
      <c r="C23" s="1" t="s">
        <v>4</v>
      </c>
      <c r="D23" s="1">
        <f>8*(A8+B8)</f>
        <v>5600000</v>
      </c>
    </row>
    <row r="24" spans="1:6">
      <c r="A24" s="1" t="s">
        <v>10</v>
      </c>
      <c r="B24" s="1">
        <f>(9*C8)+(5*D8)</f>
        <v>1800000</v>
      </c>
      <c r="C24" s="1" t="s">
        <v>4</v>
      </c>
      <c r="D24" s="1">
        <f>6*(C8+D8)</f>
        <v>1800000</v>
      </c>
    </row>
    <row r="25" spans="1:6">
      <c r="A25" s="1" t="s">
        <v>9</v>
      </c>
      <c r="B25" s="1">
        <f>(9*E8)+(5*F8)</f>
        <v>10000000</v>
      </c>
      <c r="C25" s="1" t="s">
        <v>4</v>
      </c>
      <c r="D25" s="1">
        <f>5*(E8+F8)</f>
        <v>10000000</v>
      </c>
    </row>
    <row r="26" spans="1:6">
      <c r="A26" s="60" t="s">
        <v>8</v>
      </c>
      <c r="B26" s="60"/>
      <c r="C26" s="60"/>
      <c r="D26" s="60"/>
      <c r="E26" s="60"/>
      <c r="F26" s="60"/>
    </row>
    <row r="27" spans="1:6">
      <c r="A27" s="1" t="s">
        <v>7</v>
      </c>
      <c r="B27" s="1">
        <f>(C8+D8)</f>
        <v>300000</v>
      </c>
      <c r="C27" s="1" t="s">
        <v>0</v>
      </c>
      <c r="D27" s="2">
        <f>50000*20</f>
        <v>1000000</v>
      </c>
    </row>
    <row r="28" spans="1:6">
      <c r="A28" s="1" t="s">
        <v>6</v>
      </c>
      <c r="B28" s="1">
        <f>(E8+F8)</f>
        <v>2000000</v>
      </c>
      <c r="C28" s="1" t="s">
        <v>0</v>
      </c>
      <c r="D28" s="2">
        <f>80000*25</f>
        <v>2000000</v>
      </c>
    </row>
    <row r="29" spans="1:6">
      <c r="A29" s="1" t="s">
        <v>36</v>
      </c>
      <c r="B29" s="2">
        <f>A8+B8</f>
        <v>700000</v>
      </c>
      <c r="C29" s="1" t="s">
        <v>4</v>
      </c>
      <c r="D29" s="1">
        <v>0</v>
      </c>
    </row>
    <row r="31" spans="1:6">
      <c r="A31" s="1" t="s">
        <v>5</v>
      </c>
      <c r="B31" s="2">
        <f>SUM(A8:F8)</f>
        <v>3000000</v>
      </c>
      <c r="C31" s="1" t="s">
        <v>4</v>
      </c>
      <c r="D31" s="1">
        <v>1</v>
      </c>
    </row>
    <row r="32" spans="1:6">
      <c r="A32" s="54" t="s">
        <v>3</v>
      </c>
      <c r="B32" s="54"/>
      <c r="C32" s="54"/>
      <c r="D32" s="54"/>
    </row>
    <row r="33" spans="1:4">
      <c r="A33" s="1" t="s">
        <v>2</v>
      </c>
      <c r="B33" s="2">
        <f>A8+C8+E8</f>
        <v>600000</v>
      </c>
      <c r="C33" s="1" t="s">
        <v>0</v>
      </c>
      <c r="D33" s="2">
        <f>600000</f>
        <v>600000</v>
      </c>
    </row>
    <row r="34" spans="1:4">
      <c r="A34" s="1" t="s">
        <v>1</v>
      </c>
      <c r="B34" s="2">
        <f>B8+D8+F8</f>
        <v>2400000</v>
      </c>
      <c r="C34" s="1" t="s">
        <v>0</v>
      </c>
      <c r="D34" s="2">
        <f>2400000</f>
        <v>2400000</v>
      </c>
    </row>
  </sheetData>
  <mergeCells count="6">
    <mergeCell ref="A32:D32"/>
    <mergeCell ref="A6:F6"/>
    <mergeCell ref="A10:F10"/>
    <mergeCell ref="A20:F20"/>
    <mergeCell ref="A22:E22"/>
    <mergeCell ref="A26:F26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1C8B7E-468B-4E4B-8777-1A7373B53B72}">
  <dimension ref="A1:H26"/>
  <sheetViews>
    <sheetView showGridLines="0" workbookViewId="0">
      <selection activeCell="E25" sqref="E25"/>
    </sheetView>
  </sheetViews>
  <sheetFormatPr baseColWidth="10" defaultColWidth="8.83203125" defaultRowHeight="16"/>
  <cols>
    <col min="1" max="1" width="2.33203125" customWidth="1"/>
    <col min="2" max="2" width="6.1640625" bestFit="1" customWidth="1"/>
    <col min="3" max="3" width="35" bestFit="1" customWidth="1"/>
    <col min="4" max="4" width="9" bestFit="1" customWidth="1"/>
    <col min="5" max="5" width="12.5" bestFit="1" customWidth="1"/>
    <col min="6" max="8" width="12" bestFit="1" customWidth="1"/>
  </cols>
  <sheetData>
    <row r="1" spans="1:8">
      <c r="A1" s="26" t="s">
        <v>85</v>
      </c>
    </row>
    <row r="2" spans="1:8">
      <c r="A2" s="26" t="s">
        <v>86</v>
      </c>
    </row>
    <row r="3" spans="1:8">
      <c r="A3" s="26" t="s">
        <v>87</v>
      </c>
    </row>
    <row r="6" spans="1:8" ht="17" thickBot="1">
      <c r="A6" t="s">
        <v>40</v>
      </c>
    </row>
    <row r="7" spans="1:8">
      <c r="B7" s="44"/>
      <c r="C7" s="44"/>
      <c r="D7" s="44" t="s">
        <v>66</v>
      </c>
      <c r="E7" s="44" t="s">
        <v>68</v>
      </c>
      <c r="F7" s="44" t="s">
        <v>70</v>
      </c>
      <c r="G7" s="44" t="s">
        <v>72</v>
      </c>
      <c r="H7" s="44" t="s">
        <v>72</v>
      </c>
    </row>
    <row r="8" spans="1:8" ht="17" thickBot="1">
      <c r="B8" s="45" t="s">
        <v>38</v>
      </c>
      <c r="C8" s="45" t="s">
        <v>39</v>
      </c>
      <c r="D8" s="45" t="s">
        <v>67</v>
      </c>
      <c r="E8" s="45" t="s">
        <v>69</v>
      </c>
      <c r="F8" s="45" t="s">
        <v>71</v>
      </c>
      <c r="G8" s="45" t="s">
        <v>73</v>
      </c>
      <c r="H8" s="45" t="s">
        <v>74</v>
      </c>
    </row>
    <row r="9" spans="1:8">
      <c r="B9" s="28" t="s">
        <v>41</v>
      </c>
      <c r="C9" s="28" t="s">
        <v>24</v>
      </c>
      <c r="D9" s="28">
        <v>525000</v>
      </c>
      <c r="E9" s="28">
        <v>0</v>
      </c>
      <c r="F9" s="28">
        <v>0.24666666666666665</v>
      </c>
      <c r="G9" s="28">
        <v>0.46311111111111131</v>
      </c>
      <c r="H9" s="28">
        <v>6.4888888888888718E-2</v>
      </c>
    </row>
    <row r="10" spans="1:8">
      <c r="B10" s="28" t="s">
        <v>42</v>
      </c>
      <c r="C10" s="28" t="s">
        <v>23</v>
      </c>
      <c r="D10" s="28">
        <v>175000</v>
      </c>
      <c r="E10" s="28">
        <v>0</v>
      </c>
      <c r="F10" s="28">
        <v>0.24666666666666665</v>
      </c>
      <c r="G10" s="28">
        <v>1.389333333333334</v>
      </c>
      <c r="H10" s="28">
        <v>6.4888888888888788E-2</v>
      </c>
    </row>
    <row r="11" spans="1:8">
      <c r="B11" s="28" t="s">
        <v>43</v>
      </c>
      <c r="C11" s="28" t="s">
        <v>22</v>
      </c>
      <c r="D11" s="28">
        <v>75000</v>
      </c>
      <c r="E11" s="28">
        <v>0</v>
      </c>
      <c r="F11" s="28">
        <v>0.19800000000000006</v>
      </c>
      <c r="G11" s="28">
        <v>6.4888888888888788E-2</v>
      </c>
      <c r="H11" s="28">
        <v>0.46311111111111131</v>
      </c>
    </row>
    <row r="12" spans="1:8">
      <c r="B12" s="28" t="s">
        <v>44</v>
      </c>
      <c r="C12" s="28" t="s">
        <v>21</v>
      </c>
      <c r="D12" s="28">
        <v>225000</v>
      </c>
      <c r="E12" s="28">
        <v>0</v>
      </c>
      <c r="F12" s="28">
        <v>0.19800000000000006</v>
      </c>
      <c r="G12" s="28">
        <v>4.296296296296287E-2</v>
      </c>
      <c r="H12" s="28">
        <v>0.15437037037037044</v>
      </c>
    </row>
    <row r="13" spans="1:8">
      <c r="B13" s="28" t="s">
        <v>45</v>
      </c>
      <c r="C13" s="28" t="s">
        <v>20</v>
      </c>
      <c r="D13" s="28">
        <v>0</v>
      </c>
      <c r="E13" s="28">
        <v>0</v>
      </c>
      <c r="F13" s="28">
        <v>0.22200000000000009</v>
      </c>
      <c r="G13" s="28">
        <v>9.7333333333333077E-2</v>
      </c>
      <c r="H13" s="28">
        <v>1E+30</v>
      </c>
    </row>
    <row r="14" spans="1:8" ht="17" thickBot="1">
      <c r="B14" s="27" t="s">
        <v>46</v>
      </c>
      <c r="C14" s="27" t="s">
        <v>19</v>
      </c>
      <c r="D14" s="27">
        <v>2000000</v>
      </c>
      <c r="E14" s="27">
        <v>0</v>
      </c>
      <c r="F14" s="27">
        <v>0.22199999999999998</v>
      </c>
      <c r="G14" s="27">
        <v>1E+30</v>
      </c>
      <c r="H14" s="27">
        <v>4.8333333333333228E-2</v>
      </c>
    </row>
    <row r="16" spans="1:8" ht="17" thickBot="1">
      <c r="A16" t="s">
        <v>13</v>
      </c>
    </row>
    <row r="17" spans="2:8">
      <c r="B17" s="44"/>
      <c r="C17" s="44"/>
      <c r="D17" s="44" t="s">
        <v>66</v>
      </c>
      <c r="E17" s="44" t="s">
        <v>75</v>
      </c>
      <c r="F17" s="44" t="s">
        <v>77</v>
      </c>
      <c r="G17" s="44" t="s">
        <v>72</v>
      </c>
      <c r="H17" s="44" t="s">
        <v>72</v>
      </c>
    </row>
    <row r="18" spans="2:8" ht="17" thickBot="1">
      <c r="B18" s="45" t="s">
        <v>38</v>
      </c>
      <c r="C18" s="45" t="s">
        <v>39</v>
      </c>
      <c r="D18" s="45" t="s">
        <v>67</v>
      </c>
      <c r="E18" s="45" t="s">
        <v>76</v>
      </c>
      <c r="F18" s="45" t="s">
        <v>78</v>
      </c>
      <c r="G18" s="45" t="s">
        <v>73</v>
      </c>
      <c r="H18" s="45" t="s">
        <v>74</v>
      </c>
    </row>
    <row r="19" spans="2:8">
      <c r="B19" s="28" t="s">
        <v>49</v>
      </c>
      <c r="C19" s="28" t="s">
        <v>91</v>
      </c>
      <c r="D19" s="28">
        <v>5600000</v>
      </c>
      <c r="E19" s="28">
        <v>-2.4333333333333297E-2</v>
      </c>
      <c r="F19" s="28">
        <v>0</v>
      </c>
      <c r="G19" s="28">
        <v>466666.66666666669</v>
      </c>
      <c r="H19" s="28">
        <v>600000</v>
      </c>
    </row>
    <row r="20" spans="2:8">
      <c r="B20" s="28" t="s">
        <v>51</v>
      </c>
      <c r="C20" s="28" t="s">
        <v>92</v>
      </c>
      <c r="D20" s="28">
        <v>1800000</v>
      </c>
      <c r="E20" s="28">
        <v>-2.4333333333333297E-2</v>
      </c>
      <c r="F20" s="28">
        <v>0</v>
      </c>
      <c r="G20" s="28">
        <v>1400000</v>
      </c>
      <c r="H20" s="28">
        <v>200000</v>
      </c>
    </row>
    <row r="21" spans="2:8">
      <c r="B21" s="28" t="s">
        <v>88</v>
      </c>
      <c r="C21" s="28" t="s">
        <v>93</v>
      </c>
      <c r="D21" s="28">
        <v>10000000</v>
      </c>
      <c r="E21" s="28">
        <v>-2.4333333333333269E-2</v>
      </c>
      <c r="F21" s="28">
        <v>0</v>
      </c>
      <c r="G21" s="28">
        <v>1400000</v>
      </c>
      <c r="H21" s="28">
        <v>0</v>
      </c>
    </row>
    <row r="22" spans="2:8">
      <c r="B22" s="28" t="s">
        <v>55</v>
      </c>
      <c r="C22" s="28" t="s">
        <v>7</v>
      </c>
      <c r="D22" s="28">
        <v>300000</v>
      </c>
      <c r="E22" s="28">
        <v>0</v>
      </c>
      <c r="F22" s="28">
        <v>1000000</v>
      </c>
      <c r="G22" s="28">
        <v>1E+30</v>
      </c>
      <c r="H22" s="28">
        <v>700000</v>
      </c>
    </row>
    <row r="23" spans="2:8">
      <c r="B23" s="28" t="s">
        <v>57</v>
      </c>
      <c r="C23" s="28" t="s">
        <v>6</v>
      </c>
      <c r="D23" s="28">
        <v>2000000</v>
      </c>
      <c r="E23" s="28">
        <v>4.8333333333333228E-2</v>
      </c>
      <c r="F23" s="28">
        <v>2000000</v>
      </c>
      <c r="G23" s="28">
        <v>200000</v>
      </c>
      <c r="H23" s="28">
        <v>466666.66666666669</v>
      </c>
    </row>
    <row r="24" spans="2:8">
      <c r="B24" s="28" t="s">
        <v>89</v>
      </c>
      <c r="C24" s="28" t="s">
        <v>36</v>
      </c>
      <c r="D24" s="28">
        <v>700000</v>
      </c>
      <c r="E24" s="28">
        <v>0</v>
      </c>
      <c r="F24" s="28">
        <v>0</v>
      </c>
      <c r="G24" s="28">
        <v>700000</v>
      </c>
      <c r="H24" s="28">
        <v>1E+30</v>
      </c>
    </row>
    <row r="25" spans="2:8">
      <c r="B25" s="28" t="s">
        <v>61</v>
      </c>
      <c r="C25" s="28" t="s">
        <v>2</v>
      </c>
      <c r="D25" s="28">
        <v>600000</v>
      </c>
      <c r="E25" s="46">
        <v>0.27099999999999991</v>
      </c>
      <c r="F25" s="28">
        <v>600000</v>
      </c>
      <c r="G25" s="28">
        <v>600000</v>
      </c>
      <c r="H25" s="28">
        <v>466666.66666666669</v>
      </c>
    </row>
    <row r="26" spans="2:8" ht="17" thickBot="1">
      <c r="B26" s="27" t="s">
        <v>90</v>
      </c>
      <c r="C26" s="27" t="s">
        <v>1</v>
      </c>
      <c r="D26" s="27">
        <v>2400000</v>
      </c>
      <c r="E26" s="27">
        <v>0.17366666666666675</v>
      </c>
      <c r="F26" s="27">
        <v>2400000</v>
      </c>
      <c r="G26" s="27">
        <v>466666.66666666669</v>
      </c>
      <c r="H26" s="27">
        <v>200000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58188A-1714-49DA-BFF6-AD74F271B3A2}">
  <dimension ref="A1:H36"/>
  <sheetViews>
    <sheetView tabSelected="1" topLeftCell="A7" workbookViewId="0">
      <selection activeCell="C13" sqref="C13"/>
    </sheetView>
  </sheetViews>
  <sheetFormatPr baseColWidth="10" defaultColWidth="10.83203125" defaultRowHeight="15"/>
  <cols>
    <col min="1" max="1" width="16.1640625" style="1" customWidth="1"/>
    <col min="2" max="2" width="30.83203125" style="1" customWidth="1"/>
    <col min="3" max="3" width="14.83203125" style="1" customWidth="1"/>
    <col min="4" max="4" width="11.1640625" style="1" bestFit="1" customWidth="1"/>
    <col min="5" max="5" width="11" style="1" bestFit="1" customWidth="1"/>
    <col min="6" max="6" width="12.6640625" style="1" bestFit="1" customWidth="1"/>
    <col min="7" max="7" width="11.1640625" style="1" bestFit="1" customWidth="1"/>
    <col min="8" max="8" width="23" style="1" customWidth="1"/>
    <col min="9" max="16384" width="10.83203125" style="1"/>
  </cols>
  <sheetData>
    <row r="1" spans="1:8" ht="98" customHeight="1" thickBot="1">
      <c r="A1" s="18" t="s">
        <v>35</v>
      </c>
      <c r="B1" s="17" t="s">
        <v>34</v>
      </c>
      <c r="C1" s="17" t="s">
        <v>33</v>
      </c>
      <c r="D1" s="17" t="s">
        <v>32</v>
      </c>
      <c r="E1" s="17" t="s">
        <v>31</v>
      </c>
      <c r="F1" s="17" t="s">
        <v>30</v>
      </c>
    </row>
    <row r="2" spans="1:8" ht="18" thickBot="1">
      <c r="A2" s="15" t="s">
        <v>29</v>
      </c>
      <c r="B2" s="14">
        <v>12</v>
      </c>
      <c r="C2" s="12">
        <v>18</v>
      </c>
      <c r="D2" s="14">
        <v>7.56</v>
      </c>
      <c r="E2" s="16" t="s">
        <v>28</v>
      </c>
      <c r="F2" s="12">
        <v>8</v>
      </c>
    </row>
    <row r="3" spans="1:8" ht="18" thickBot="1">
      <c r="A3" s="15" t="s">
        <v>27</v>
      </c>
      <c r="B3" s="14">
        <v>13.5</v>
      </c>
      <c r="C3" s="12">
        <v>20</v>
      </c>
      <c r="D3" s="14">
        <v>9.5399999999999991</v>
      </c>
      <c r="E3" s="13">
        <v>50000</v>
      </c>
      <c r="F3" s="12">
        <v>6</v>
      </c>
    </row>
    <row r="4" spans="1:8" ht="18" thickBot="1">
      <c r="A4" s="15" t="s">
        <v>26</v>
      </c>
      <c r="B4" s="14">
        <v>11.4</v>
      </c>
      <c r="C4" s="12">
        <v>25</v>
      </c>
      <c r="D4" s="14">
        <v>5.85</v>
      </c>
      <c r="E4" s="13">
        <v>80000</v>
      </c>
      <c r="F4" s="12">
        <v>5</v>
      </c>
      <c r="H4" s="33"/>
    </row>
    <row r="5" spans="1:8" ht="17" thickBot="1">
      <c r="A5" s="11"/>
      <c r="B5" s="10"/>
      <c r="C5" s="8"/>
      <c r="D5" s="10"/>
      <c r="E5" s="9"/>
      <c r="F5" s="8"/>
    </row>
    <row r="6" spans="1:8" ht="28" customHeight="1" thickBot="1">
      <c r="A6" s="55" t="s">
        <v>25</v>
      </c>
      <c r="B6" s="56"/>
      <c r="C6" s="56"/>
      <c r="D6" s="56"/>
      <c r="E6" s="56"/>
      <c r="F6" s="57"/>
    </row>
    <row r="7" spans="1:8" ht="17">
      <c r="A7" s="7" t="s">
        <v>24</v>
      </c>
      <c r="B7" s="5" t="s">
        <v>23</v>
      </c>
      <c r="C7" s="5" t="s">
        <v>22</v>
      </c>
      <c r="D7" s="5" t="s">
        <v>21</v>
      </c>
      <c r="E7" s="5" t="s">
        <v>20</v>
      </c>
      <c r="F7" s="5" t="s">
        <v>19</v>
      </c>
    </row>
    <row r="8" spans="1:8">
      <c r="A8" s="20">
        <v>525000</v>
      </c>
      <c r="B8" s="20">
        <v>175000</v>
      </c>
      <c r="C8" s="20">
        <v>75000</v>
      </c>
      <c r="D8" s="20">
        <v>225000</v>
      </c>
      <c r="E8" s="20">
        <v>0</v>
      </c>
      <c r="F8" s="20">
        <v>2000000</v>
      </c>
      <c r="G8" s="25"/>
    </row>
    <row r="10" spans="1:8">
      <c r="A10" s="58" t="s">
        <v>18</v>
      </c>
      <c r="B10" s="58"/>
      <c r="C10" s="58"/>
      <c r="D10" s="58"/>
      <c r="E10" s="58"/>
      <c r="F10" s="58"/>
    </row>
    <row r="12" spans="1:8" ht="96">
      <c r="A12" s="6" t="s">
        <v>17</v>
      </c>
      <c r="B12" s="41" t="s">
        <v>82</v>
      </c>
      <c r="C12" s="24">
        <f>E13*(A8+B8)+E15*(C8+D8)+E17*(E8+F8)</f>
        <v>676066.66666666674</v>
      </c>
      <c r="E12" s="34" t="s">
        <v>81</v>
      </c>
      <c r="H12" s="39" t="s">
        <v>84</v>
      </c>
    </row>
    <row r="13" spans="1:8">
      <c r="A13" s="21">
        <f>(12/18-7.56/18)-((A8*0.06+B8*0.12)/(A8+B8))</f>
        <v>0.17166666666666663</v>
      </c>
      <c r="B13" s="39" t="s">
        <v>83</v>
      </c>
      <c r="C13" s="42">
        <f>C12-(80000*(0.25-0.06))</f>
        <v>660866.66666666674</v>
      </c>
      <c r="E13" s="38">
        <f>(12/18) - (7.56/18)</f>
        <v>0.24666666666666665</v>
      </c>
      <c r="H13" s="24">
        <f>C12-0.06*SUM(A8:F8)</f>
        <v>496066.66666666674</v>
      </c>
    </row>
    <row r="14" spans="1:8">
      <c r="A14" s="22" t="s">
        <v>16</v>
      </c>
      <c r="E14" s="36" t="s">
        <v>16</v>
      </c>
    </row>
    <row r="15" spans="1:8">
      <c r="A15" s="21">
        <f>(13.5/20 - 9.54/20) - ((C8*0.06 + D8*0.12)/(C8+ D8))</f>
        <v>9.3000000000000069E-2</v>
      </c>
      <c r="E15" s="38">
        <f>(13.5/20) - (9.54/20)</f>
        <v>0.19800000000000006</v>
      </c>
    </row>
    <row r="16" spans="1:8">
      <c r="A16" s="22" t="s">
        <v>15</v>
      </c>
      <c r="E16" s="36" t="s">
        <v>15</v>
      </c>
    </row>
    <row r="17" spans="1:6">
      <c r="A17" s="21">
        <f>(11.4/25 - 5.85/25) - 0.12</f>
        <v>0.10200000000000004</v>
      </c>
      <c r="E17" s="38">
        <f>(11.4/25) - (5.85/25)</f>
        <v>0.22200000000000003</v>
      </c>
    </row>
    <row r="18" spans="1:6">
      <c r="A18" s="5"/>
    </row>
    <row r="19" spans="1:6">
      <c r="A19" s="52"/>
      <c r="B19" s="53"/>
    </row>
    <row r="21" spans="1:6" ht="16" customHeight="1">
      <c r="A21" s="59" t="s">
        <v>13</v>
      </c>
      <c r="B21" s="59"/>
      <c r="C21" s="59"/>
      <c r="D21" s="59"/>
      <c r="E21" s="59"/>
      <c r="F21" s="59"/>
    </row>
    <row r="22" spans="1:6" ht="16" customHeight="1">
      <c r="A22" s="4"/>
      <c r="B22" s="4"/>
      <c r="C22" s="4"/>
      <c r="D22" s="4"/>
      <c r="E22" s="4"/>
      <c r="F22" s="4"/>
    </row>
    <row r="23" spans="1:6">
      <c r="B23" s="40" t="s">
        <v>100</v>
      </c>
    </row>
    <row r="24" spans="1:6">
      <c r="A24" s="54" t="s">
        <v>12</v>
      </c>
      <c r="B24" s="54"/>
      <c r="C24" s="54"/>
      <c r="D24" s="54"/>
      <c r="E24" s="54"/>
    </row>
    <row r="25" spans="1:6">
      <c r="A25" s="39" t="s">
        <v>94</v>
      </c>
      <c r="B25" s="2">
        <f>(9*A8)+(5*B8)</f>
        <v>5600000</v>
      </c>
      <c r="C25" s="1" t="s">
        <v>4</v>
      </c>
      <c r="D25" s="2">
        <f>8*(A8+B8)</f>
        <v>5600000</v>
      </c>
    </row>
    <row r="26" spans="1:6">
      <c r="A26" s="39" t="s">
        <v>92</v>
      </c>
      <c r="B26" s="2">
        <f>(9*C8)+(5*D8)</f>
        <v>1800000</v>
      </c>
      <c r="C26" s="1" t="s">
        <v>4</v>
      </c>
      <c r="D26" s="2">
        <f>6*(C8+D8)</f>
        <v>1800000</v>
      </c>
    </row>
    <row r="27" spans="1:6">
      <c r="A27" s="39" t="s">
        <v>93</v>
      </c>
      <c r="B27" s="2">
        <f>(9*E8)+(5*F8)</f>
        <v>10000000</v>
      </c>
      <c r="C27" s="1" t="s">
        <v>4</v>
      </c>
      <c r="D27" s="2">
        <f>5*(E8+F8)</f>
        <v>10000000</v>
      </c>
    </row>
    <row r="28" spans="1:6">
      <c r="A28" s="60" t="s">
        <v>8</v>
      </c>
      <c r="B28" s="60"/>
      <c r="C28" s="60"/>
      <c r="D28" s="60"/>
      <c r="E28" s="60"/>
      <c r="F28" s="60"/>
    </row>
    <row r="29" spans="1:6">
      <c r="A29" s="39" t="s">
        <v>95</v>
      </c>
      <c r="B29" s="2">
        <f>(C8+D8)</f>
        <v>300000</v>
      </c>
      <c r="C29" s="1" t="s">
        <v>0</v>
      </c>
      <c r="D29" s="2">
        <f>50000*20</f>
        <v>1000000</v>
      </c>
    </row>
    <row r="30" spans="1:6">
      <c r="A30" s="39" t="s">
        <v>96</v>
      </c>
      <c r="B30" s="2">
        <f>(E8+F8)</f>
        <v>2000000</v>
      </c>
      <c r="C30" s="1" t="s">
        <v>0</v>
      </c>
      <c r="D30" s="2">
        <f>80000*25</f>
        <v>2000000</v>
      </c>
    </row>
    <row r="31" spans="1:6">
      <c r="A31" s="39" t="s">
        <v>97</v>
      </c>
      <c r="B31" s="2">
        <f>A8+B8</f>
        <v>700000</v>
      </c>
      <c r="C31" s="1" t="s">
        <v>4</v>
      </c>
      <c r="D31" s="2">
        <v>0</v>
      </c>
    </row>
    <row r="33" spans="1:4">
      <c r="A33" s="1" t="s">
        <v>5</v>
      </c>
      <c r="B33" s="2">
        <f>SUM(A8:F8)</f>
        <v>3000000</v>
      </c>
      <c r="C33" s="1" t="s">
        <v>4</v>
      </c>
      <c r="D33" s="43">
        <v>0</v>
      </c>
    </row>
    <row r="34" spans="1:4">
      <c r="A34" s="54" t="s">
        <v>3</v>
      </c>
      <c r="B34" s="54"/>
      <c r="C34" s="54"/>
      <c r="D34" s="54"/>
    </row>
    <row r="35" spans="1:4">
      <c r="A35" s="1" t="s">
        <v>2</v>
      </c>
      <c r="B35" s="2">
        <f>A8+C8+E8</f>
        <v>600000</v>
      </c>
      <c r="C35" s="1" t="s">
        <v>0</v>
      </c>
      <c r="D35" s="2">
        <f>600000</f>
        <v>600000</v>
      </c>
    </row>
    <row r="36" spans="1:4">
      <c r="A36" s="1" t="s">
        <v>1</v>
      </c>
      <c r="B36" s="2">
        <f>B8+D8+F8</f>
        <v>2400000</v>
      </c>
      <c r="C36" s="1" t="s">
        <v>0</v>
      </c>
      <c r="D36" s="2">
        <f>2400000</f>
        <v>2400000</v>
      </c>
    </row>
  </sheetData>
  <mergeCells count="6">
    <mergeCell ref="A34:D34"/>
    <mergeCell ref="A6:F6"/>
    <mergeCell ref="A10:F10"/>
    <mergeCell ref="A21:F21"/>
    <mergeCell ref="A24:E24"/>
    <mergeCell ref="A28:F28"/>
  </mergeCells>
  <pageMargins left="0.7" right="0.7" top="0.75" bottom="0.75" header="0.3" footer="0.3"/>
  <pageSetup paperSize="0" orientation="portrait" horizontalDpi="0" verticalDpi="0" copie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2E9D70-C326-4686-BA60-52684299AC6E}">
  <dimension ref="A1:H24"/>
  <sheetViews>
    <sheetView showGridLines="0" workbookViewId="0">
      <selection activeCell="E23" sqref="E23"/>
    </sheetView>
  </sheetViews>
  <sheetFormatPr baseColWidth="10" defaultColWidth="8.83203125" defaultRowHeight="16"/>
  <cols>
    <col min="1" max="1" width="2.33203125" customWidth="1"/>
    <col min="2" max="2" width="6.1640625" bestFit="1" customWidth="1"/>
    <col min="3" max="3" width="23.1640625" bestFit="1" customWidth="1"/>
    <col min="4" max="4" width="8" bestFit="1" customWidth="1"/>
    <col min="5" max="5" width="12.5" bestFit="1" customWidth="1"/>
    <col min="6" max="8" width="12" bestFit="1" customWidth="1"/>
  </cols>
  <sheetData>
    <row r="1" spans="1:8">
      <c r="A1" s="26" t="s">
        <v>85</v>
      </c>
    </row>
    <row r="2" spans="1:8">
      <c r="A2" s="26" t="s">
        <v>98</v>
      </c>
    </row>
    <row r="3" spans="1:8">
      <c r="A3" s="26" t="s">
        <v>101</v>
      </c>
    </row>
    <row r="6" spans="1:8" ht="17" thickBot="1">
      <c r="A6" t="s">
        <v>40</v>
      </c>
    </row>
    <row r="7" spans="1:8">
      <c r="B7" s="44"/>
      <c r="C7" s="44"/>
      <c r="D7" s="44" t="s">
        <v>66</v>
      </c>
      <c r="E7" s="44" t="s">
        <v>68</v>
      </c>
      <c r="F7" s="44" t="s">
        <v>70</v>
      </c>
      <c r="G7" s="44" t="s">
        <v>72</v>
      </c>
      <c r="H7" s="44" t="s">
        <v>72</v>
      </c>
    </row>
    <row r="8" spans="1:8" ht="17" thickBot="1">
      <c r="B8" s="45" t="s">
        <v>38</v>
      </c>
      <c r="C8" s="45" t="s">
        <v>39</v>
      </c>
      <c r="D8" s="45" t="s">
        <v>67</v>
      </c>
      <c r="E8" s="45" t="s">
        <v>69</v>
      </c>
      <c r="F8" s="45" t="s">
        <v>71</v>
      </c>
      <c r="G8" s="45" t="s">
        <v>73</v>
      </c>
      <c r="H8" s="45" t="s">
        <v>74</v>
      </c>
    </row>
    <row r="9" spans="1:8">
      <c r="B9" s="28" t="s">
        <v>41</v>
      </c>
      <c r="C9" s="28" t="s">
        <v>24</v>
      </c>
      <c r="D9" s="28">
        <v>525000</v>
      </c>
      <c r="E9" s="28">
        <v>0</v>
      </c>
      <c r="F9" s="28">
        <v>0.24666666666666665</v>
      </c>
      <c r="G9" s="28">
        <v>0.46311111111111131</v>
      </c>
      <c r="H9" s="28">
        <v>6.4888888888888718E-2</v>
      </c>
    </row>
    <row r="10" spans="1:8">
      <c r="B10" s="28" t="s">
        <v>42</v>
      </c>
      <c r="C10" s="28" t="s">
        <v>23</v>
      </c>
      <c r="D10" s="28">
        <v>175000</v>
      </c>
      <c r="E10" s="28">
        <v>0</v>
      </c>
      <c r="F10" s="28">
        <v>0.24666666666666665</v>
      </c>
      <c r="G10" s="28">
        <v>1.389333333333334</v>
      </c>
      <c r="H10" s="28">
        <v>6.488888888888876E-2</v>
      </c>
    </row>
    <row r="11" spans="1:8">
      <c r="B11" s="28" t="s">
        <v>43</v>
      </c>
      <c r="C11" s="28" t="s">
        <v>22</v>
      </c>
      <c r="D11" s="28">
        <v>75000</v>
      </c>
      <c r="E11" s="28">
        <v>0</v>
      </c>
      <c r="F11" s="28">
        <v>0.19800000000000006</v>
      </c>
      <c r="G11" s="28">
        <v>6.4888888888888788E-2</v>
      </c>
      <c r="H11" s="28">
        <v>0.46311111111111131</v>
      </c>
    </row>
    <row r="12" spans="1:8">
      <c r="B12" s="28" t="s">
        <v>44</v>
      </c>
      <c r="C12" s="28" t="s">
        <v>21</v>
      </c>
      <c r="D12" s="28">
        <v>225000</v>
      </c>
      <c r="E12" s="28">
        <v>0</v>
      </c>
      <c r="F12" s="28">
        <v>0.19800000000000006</v>
      </c>
      <c r="G12" s="28">
        <v>4.296296296296287E-2</v>
      </c>
      <c r="H12" s="28">
        <v>0.15437037037037044</v>
      </c>
    </row>
    <row r="13" spans="1:8">
      <c r="B13" s="28" t="s">
        <v>45</v>
      </c>
      <c r="C13" s="28" t="s">
        <v>20</v>
      </c>
      <c r="D13" s="28">
        <v>0</v>
      </c>
      <c r="E13" s="28">
        <v>-9.7333333333333077E-2</v>
      </c>
      <c r="F13" s="28">
        <v>0.22200000000000009</v>
      </c>
      <c r="G13" s="28">
        <v>9.7333333333333077E-2</v>
      </c>
      <c r="H13" s="28">
        <v>1E+30</v>
      </c>
    </row>
    <row r="14" spans="1:8" ht="17" thickBot="1">
      <c r="B14" s="27" t="s">
        <v>46</v>
      </c>
      <c r="C14" s="27" t="s">
        <v>19</v>
      </c>
      <c r="D14" s="27">
        <v>2000000</v>
      </c>
      <c r="E14" s="27">
        <v>0</v>
      </c>
      <c r="F14" s="27">
        <v>0.22199999999999998</v>
      </c>
      <c r="G14" s="27">
        <v>1E+30</v>
      </c>
      <c r="H14" s="27">
        <v>4.8333333333333228E-2</v>
      </c>
    </row>
    <row r="16" spans="1:8" ht="17" thickBot="1">
      <c r="A16" t="s">
        <v>13</v>
      </c>
    </row>
    <row r="17" spans="2:8">
      <c r="B17" s="44"/>
      <c r="C17" s="44"/>
      <c r="D17" s="44" t="s">
        <v>66</v>
      </c>
      <c r="E17" s="44" t="s">
        <v>75</v>
      </c>
      <c r="F17" s="44" t="s">
        <v>77</v>
      </c>
      <c r="G17" s="44" t="s">
        <v>72</v>
      </c>
      <c r="H17" s="44" t="s">
        <v>72</v>
      </c>
    </row>
    <row r="18" spans="2:8" ht="17" thickBot="1">
      <c r="B18" s="45" t="s">
        <v>38</v>
      </c>
      <c r="C18" s="45" t="s">
        <v>39</v>
      </c>
      <c r="D18" s="45" t="s">
        <v>67</v>
      </c>
      <c r="E18" s="45" t="s">
        <v>76</v>
      </c>
      <c r="F18" s="45" t="s">
        <v>78</v>
      </c>
      <c r="G18" s="45" t="s">
        <v>73</v>
      </c>
      <c r="H18" s="45" t="s">
        <v>74</v>
      </c>
    </row>
    <row r="19" spans="2:8">
      <c r="B19" s="28" t="s">
        <v>47</v>
      </c>
      <c r="C19" s="28" t="s">
        <v>102</v>
      </c>
      <c r="D19" s="28">
        <v>5600000</v>
      </c>
      <c r="E19" s="28">
        <v>-2.4333333333333283E-2</v>
      </c>
      <c r="F19" s="28">
        <v>0</v>
      </c>
      <c r="G19" s="28">
        <v>466666.66666666669</v>
      </c>
      <c r="H19" s="28">
        <v>600000</v>
      </c>
    </row>
    <row r="20" spans="2:8">
      <c r="B20" s="28" t="s">
        <v>49</v>
      </c>
      <c r="C20" s="28" t="s">
        <v>103</v>
      </c>
      <c r="D20" s="28">
        <v>1800000</v>
      </c>
      <c r="E20" s="28">
        <v>-2.4333333333333297E-2</v>
      </c>
      <c r="F20" s="28">
        <v>0</v>
      </c>
      <c r="G20" s="28">
        <v>1400000</v>
      </c>
      <c r="H20" s="28">
        <v>200000</v>
      </c>
    </row>
    <row r="21" spans="2:8">
      <c r="B21" s="28" t="s">
        <v>88</v>
      </c>
      <c r="C21" s="28" t="s">
        <v>104</v>
      </c>
      <c r="D21" s="28">
        <v>300000</v>
      </c>
      <c r="E21" s="28">
        <v>0</v>
      </c>
      <c r="F21" s="28">
        <v>1000000</v>
      </c>
      <c r="G21" s="28">
        <v>1E+30</v>
      </c>
      <c r="H21" s="28">
        <v>700000</v>
      </c>
    </row>
    <row r="22" spans="2:8">
      <c r="B22" s="28" t="s">
        <v>53</v>
      </c>
      <c r="C22" s="28" t="s">
        <v>105</v>
      </c>
      <c r="D22" s="28">
        <v>2000000</v>
      </c>
      <c r="E22" s="28">
        <v>4.8333333333333228E-2</v>
      </c>
      <c r="F22" s="28">
        <v>2000000</v>
      </c>
      <c r="G22" s="28">
        <v>200000</v>
      </c>
      <c r="H22" s="28">
        <v>466666.66666666669</v>
      </c>
    </row>
    <row r="23" spans="2:8">
      <c r="B23" s="28" t="s">
        <v>89</v>
      </c>
      <c r="C23" s="28" t="s">
        <v>106</v>
      </c>
      <c r="D23" s="28">
        <v>600000</v>
      </c>
      <c r="E23" s="46">
        <v>0.27099999999999991</v>
      </c>
      <c r="F23" s="28">
        <v>600000</v>
      </c>
      <c r="G23" s="28">
        <v>600000</v>
      </c>
      <c r="H23" s="28">
        <v>466666.66666666669</v>
      </c>
    </row>
    <row r="24" spans="2:8" ht="17" thickBot="1">
      <c r="B24" s="27" t="s">
        <v>99</v>
      </c>
      <c r="C24" s="27" t="s">
        <v>107</v>
      </c>
      <c r="D24" s="27">
        <v>2400000</v>
      </c>
      <c r="E24" s="27">
        <v>0.17366666666666675</v>
      </c>
      <c r="F24" s="27">
        <v>2400000</v>
      </c>
      <c r="G24" s="27">
        <v>466666.66666666669</v>
      </c>
      <c r="H24" s="27">
        <v>200000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D12588-44B4-45F6-8161-D7EE0DD7E714}">
  <dimension ref="A1:H31"/>
  <sheetViews>
    <sheetView topLeftCell="A4" workbookViewId="0">
      <selection activeCell="E29" sqref="E29"/>
    </sheetView>
  </sheetViews>
  <sheetFormatPr baseColWidth="10" defaultColWidth="10.83203125" defaultRowHeight="15"/>
  <cols>
    <col min="1" max="1" width="16.1640625" style="1" customWidth="1"/>
    <col min="2" max="2" width="30.83203125" style="1" customWidth="1"/>
    <col min="3" max="3" width="14.83203125" style="1" customWidth="1"/>
    <col min="4" max="4" width="11.1640625" style="1" bestFit="1" customWidth="1"/>
    <col min="5" max="5" width="11" style="1" bestFit="1" customWidth="1"/>
    <col min="6" max="6" width="12.6640625" style="1" bestFit="1" customWidth="1"/>
    <col min="7" max="7" width="11.1640625" style="1" bestFit="1" customWidth="1"/>
    <col min="8" max="8" width="23" style="1" customWidth="1"/>
    <col min="9" max="16384" width="10.83203125" style="1"/>
  </cols>
  <sheetData>
    <row r="1" spans="1:8" ht="98" customHeight="1" thickBot="1">
      <c r="A1" s="18" t="s">
        <v>35</v>
      </c>
      <c r="B1" s="17" t="s">
        <v>34</v>
      </c>
      <c r="C1" s="17" t="s">
        <v>33</v>
      </c>
      <c r="D1" s="17" t="s">
        <v>32</v>
      </c>
      <c r="E1" s="17" t="s">
        <v>31</v>
      </c>
      <c r="F1" s="17" t="s">
        <v>30</v>
      </c>
    </row>
    <row r="2" spans="1:8" ht="18" thickBot="1">
      <c r="A2" s="15" t="s">
        <v>29</v>
      </c>
      <c r="B2" s="14">
        <v>12</v>
      </c>
      <c r="C2" s="12">
        <v>18</v>
      </c>
      <c r="D2" s="14">
        <v>7.56</v>
      </c>
      <c r="E2" s="16" t="s">
        <v>28</v>
      </c>
      <c r="F2" s="12">
        <v>8</v>
      </c>
    </row>
    <row r="3" spans="1:8" ht="18" thickBot="1">
      <c r="A3" s="15" t="s">
        <v>27</v>
      </c>
      <c r="B3" s="14">
        <v>13.5</v>
      </c>
      <c r="C3" s="12">
        <v>20</v>
      </c>
      <c r="D3" s="14">
        <v>9.5399999999999991</v>
      </c>
      <c r="E3" s="13">
        <v>50000</v>
      </c>
      <c r="F3" s="12">
        <v>6</v>
      </c>
    </row>
    <row r="4" spans="1:8" ht="18" thickBot="1">
      <c r="A4" s="15" t="s">
        <v>26</v>
      </c>
      <c r="B4" s="14">
        <v>11.4</v>
      </c>
      <c r="C4" s="12">
        <v>25</v>
      </c>
      <c r="D4" s="14">
        <v>5.85</v>
      </c>
      <c r="E4" s="13">
        <v>80000</v>
      </c>
      <c r="F4" s="12">
        <v>5</v>
      </c>
      <c r="H4" s="33"/>
    </row>
    <row r="5" spans="1:8" ht="17" thickBot="1">
      <c r="A5" s="11"/>
      <c r="B5" s="10"/>
      <c r="C5" s="8"/>
      <c r="D5" s="10"/>
      <c r="E5" s="9"/>
      <c r="F5" s="8"/>
    </row>
    <row r="6" spans="1:8" ht="28" customHeight="1" thickBot="1">
      <c r="A6" s="55" t="s">
        <v>25</v>
      </c>
      <c r="B6" s="56"/>
      <c r="C6" s="56"/>
      <c r="D6" s="56"/>
      <c r="E6" s="56"/>
      <c r="F6" s="57"/>
    </row>
    <row r="7" spans="1:8" ht="17">
      <c r="A7" s="7" t="s">
        <v>24</v>
      </c>
      <c r="B7" s="5" t="s">
        <v>23</v>
      </c>
      <c r="C7" s="5" t="s">
        <v>22</v>
      </c>
      <c r="D7" s="5" t="s">
        <v>21</v>
      </c>
      <c r="E7" s="5" t="s">
        <v>20</v>
      </c>
      <c r="F7" s="5" t="s">
        <v>19</v>
      </c>
    </row>
    <row r="8" spans="1:8">
      <c r="A8" s="20">
        <v>525000</v>
      </c>
      <c r="B8" s="20">
        <v>175000</v>
      </c>
      <c r="C8" s="20">
        <v>75000</v>
      </c>
      <c r="D8" s="20">
        <v>225000</v>
      </c>
      <c r="E8" s="20">
        <v>0</v>
      </c>
      <c r="F8" s="20">
        <v>2000000</v>
      </c>
      <c r="G8" s="25"/>
    </row>
    <row r="10" spans="1:8">
      <c r="A10" s="58" t="s">
        <v>18</v>
      </c>
      <c r="B10" s="58"/>
      <c r="C10" s="58"/>
      <c r="D10" s="58"/>
      <c r="E10" s="58"/>
      <c r="F10" s="58"/>
    </row>
    <row r="12" spans="1:8" ht="96">
      <c r="A12" s="6" t="s">
        <v>17</v>
      </c>
      <c r="B12" s="41" t="s">
        <v>82</v>
      </c>
      <c r="C12" s="24">
        <f>E13*(A8+B8)+E15*(C8+D8)+E17*(E8+F8)</f>
        <v>676066.66666666674</v>
      </c>
      <c r="E12" s="34" t="s">
        <v>81</v>
      </c>
      <c r="H12" s="39" t="s">
        <v>84</v>
      </c>
    </row>
    <row r="13" spans="1:8">
      <c r="A13" s="21">
        <f>(12/18-7.56/18)-((A8*0.06+B8*0.12)/(A8+B8))</f>
        <v>0.17166666666666663</v>
      </c>
      <c r="E13" s="38">
        <f>(12/18) - (7.56/18)</f>
        <v>0.24666666666666665</v>
      </c>
      <c r="H13" s="24">
        <f>C12-0.06*SUM(A8:F8)</f>
        <v>496066.66666666674</v>
      </c>
    </row>
    <row r="14" spans="1:8">
      <c r="A14" s="22" t="s">
        <v>16</v>
      </c>
      <c r="E14" s="36" t="s">
        <v>16</v>
      </c>
    </row>
    <row r="15" spans="1:8">
      <c r="A15" s="21">
        <f>(13.5/20 - 9.54/20) - ((C8*0.06 + D8*0.12)/(C8+ D8))</f>
        <v>9.3000000000000069E-2</v>
      </c>
      <c r="E15" s="38">
        <f>(13.5/20) - (9.54/20)</f>
        <v>0.19800000000000006</v>
      </c>
    </row>
    <row r="16" spans="1:8">
      <c r="A16" s="22" t="s">
        <v>15</v>
      </c>
      <c r="E16" s="36" t="s">
        <v>15</v>
      </c>
    </row>
    <row r="17" spans="1:6">
      <c r="A17" s="21">
        <f>(11.4/25 - 5.85/25) - 0.12</f>
        <v>0.10200000000000004</v>
      </c>
      <c r="E17" s="38">
        <f>(11.4/25) - (5.85/25)</f>
        <v>0.22200000000000003</v>
      </c>
    </row>
    <row r="19" spans="1:6" ht="16" customHeight="1">
      <c r="A19" s="59" t="s">
        <v>13</v>
      </c>
      <c r="B19" s="59"/>
      <c r="C19" s="59"/>
      <c r="D19" s="59"/>
      <c r="E19" s="59"/>
      <c r="F19" s="59"/>
    </row>
    <row r="20" spans="1:6" ht="16" customHeight="1"/>
    <row r="21" spans="1:6">
      <c r="B21" s="40" t="s">
        <v>100</v>
      </c>
    </row>
    <row r="22" spans="1:6">
      <c r="A22" s="54" t="s">
        <v>12</v>
      </c>
      <c r="B22" s="54"/>
      <c r="C22" s="54"/>
      <c r="D22" s="54"/>
      <c r="E22" s="54"/>
    </row>
    <row r="23" spans="1:6">
      <c r="A23" s="1" t="s">
        <v>11</v>
      </c>
      <c r="B23" s="2">
        <f>(9*A8)+(5*B8)</f>
        <v>5600000</v>
      </c>
      <c r="C23" s="1" t="s">
        <v>4</v>
      </c>
      <c r="D23" s="2">
        <f>8*(A8+B8)</f>
        <v>5600000</v>
      </c>
    </row>
    <row r="24" spans="1:6">
      <c r="A24" s="1" t="s">
        <v>10</v>
      </c>
      <c r="B24" s="2">
        <f>(9*C8)+(5*D8)</f>
        <v>1800000</v>
      </c>
      <c r="C24" s="1" t="s">
        <v>4</v>
      </c>
      <c r="D24" s="2">
        <f>6*(C8+D8)</f>
        <v>1800000</v>
      </c>
    </row>
    <row r="25" spans="1:6">
      <c r="A25" s="60" t="s">
        <v>8</v>
      </c>
      <c r="B25" s="60"/>
      <c r="C25" s="60"/>
      <c r="D25" s="60"/>
      <c r="E25" s="60"/>
      <c r="F25" s="60"/>
    </row>
    <row r="26" spans="1:6">
      <c r="A26" s="1" t="s">
        <v>7</v>
      </c>
      <c r="B26" s="2">
        <f>(C8+D8)</f>
        <v>300000</v>
      </c>
      <c r="C26" s="1" t="s">
        <v>0</v>
      </c>
      <c r="D26" s="2">
        <f>50000*20</f>
        <v>1000000</v>
      </c>
    </row>
    <row r="27" spans="1:6">
      <c r="A27" s="1" t="s">
        <v>6</v>
      </c>
      <c r="B27" s="2">
        <f>(E8+F8)</f>
        <v>2000000</v>
      </c>
      <c r="C27" s="1" t="s">
        <v>0</v>
      </c>
      <c r="D27" s="2">
        <f>80000*25</f>
        <v>2000000</v>
      </c>
    </row>
    <row r="29" spans="1:6">
      <c r="A29" s="54" t="s">
        <v>3</v>
      </c>
      <c r="B29" s="54"/>
      <c r="C29" s="54"/>
      <c r="D29" s="54"/>
    </row>
    <row r="30" spans="1:6">
      <c r="A30" s="1" t="s">
        <v>2</v>
      </c>
      <c r="B30" s="2">
        <f>A8+C8+E8</f>
        <v>600000</v>
      </c>
      <c r="C30" s="1" t="s">
        <v>0</v>
      </c>
      <c r="D30" s="2">
        <f>600000</f>
        <v>600000</v>
      </c>
    </row>
    <row r="31" spans="1:6">
      <c r="A31" s="1" t="s">
        <v>1</v>
      </c>
      <c r="B31" s="2">
        <f>B8+D8+F8</f>
        <v>2400000</v>
      </c>
      <c r="C31" s="1" t="s">
        <v>0</v>
      </c>
      <c r="D31" s="2">
        <f>2400000</f>
        <v>2400000</v>
      </c>
    </row>
  </sheetData>
  <mergeCells count="6">
    <mergeCell ref="A29:D29"/>
    <mergeCell ref="A6:F6"/>
    <mergeCell ref="A10:F10"/>
    <mergeCell ref="A19:F19"/>
    <mergeCell ref="A22:E22"/>
    <mergeCell ref="A25:F25"/>
  </mergeCells>
  <pageMargins left="0.7" right="0.7" top="0.75" bottom="0.75" header="0.3" footer="0.3"/>
  <pageSetup paperSize="0" orientation="portrait" horizontalDpi="0" verticalDpi="0" copie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6DE785-D5FC-4A36-8EB9-317501BBC1FC}">
  <dimension ref="A1:H28"/>
  <sheetViews>
    <sheetView showGridLines="0" workbookViewId="0">
      <selection activeCell="F32" sqref="F32"/>
    </sheetView>
  </sheetViews>
  <sheetFormatPr baseColWidth="10" defaultColWidth="8.83203125" defaultRowHeight="16"/>
  <cols>
    <col min="1" max="1" width="2.33203125" customWidth="1"/>
    <col min="2" max="2" width="6.1640625" bestFit="1" customWidth="1"/>
    <col min="3" max="3" width="23.1640625" bestFit="1" customWidth="1"/>
    <col min="4" max="4" width="8" bestFit="1" customWidth="1"/>
    <col min="5" max="5" width="12.83203125" bestFit="1" customWidth="1"/>
    <col min="6" max="6" width="12.5" bestFit="1" customWidth="1"/>
    <col min="7" max="8" width="12.1640625" bestFit="1" customWidth="1"/>
  </cols>
  <sheetData>
    <row r="1" spans="1:8">
      <c r="A1" s="26" t="s">
        <v>85</v>
      </c>
    </row>
    <row r="2" spans="1:8">
      <c r="A2" s="26" t="s">
        <v>113</v>
      </c>
    </row>
    <row r="3" spans="1:8">
      <c r="A3" s="26" t="s">
        <v>114</v>
      </c>
    </row>
    <row r="6" spans="1:8" ht="17" thickBot="1">
      <c r="A6" t="s">
        <v>40</v>
      </c>
    </row>
    <row r="7" spans="1:8">
      <c r="B7" s="44"/>
      <c r="C7" s="44"/>
      <c r="D7" s="44" t="s">
        <v>66</v>
      </c>
      <c r="E7" s="44" t="s">
        <v>68</v>
      </c>
      <c r="F7" s="44" t="s">
        <v>70</v>
      </c>
      <c r="G7" s="44" t="s">
        <v>72</v>
      </c>
      <c r="H7" s="44" t="s">
        <v>72</v>
      </c>
    </row>
    <row r="8" spans="1:8" ht="17" thickBot="1">
      <c r="B8" s="45" t="s">
        <v>38</v>
      </c>
      <c r="C8" s="45" t="s">
        <v>39</v>
      </c>
      <c r="D8" s="45" t="s">
        <v>67</v>
      </c>
      <c r="E8" s="45" t="s">
        <v>69</v>
      </c>
      <c r="F8" s="45" t="s">
        <v>71</v>
      </c>
      <c r="G8" s="45" t="s">
        <v>73</v>
      </c>
      <c r="H8" s="45" t="s">
        <v>74</v>
      </c>
    </row>
    <row r="9" spans="1:8">
      <c r="B9" s="28" t="s">
        <v>41</v>
      </c>
      <c r="C9" s="28" t="s">
        <v>24</v>
      </c>
      <c r="D9" s="28">
        <v>535000</v>
      </c>
      <c r="E9" s="28">
        <v>0</v>
      </c>
      <c r="F9" s="28">
        <v>0.24666666666666665</v>
      </c>
      <c r="G9" s="28">
        <v>5.5511151231257827E-17</v>
      </c>
      <c r="H9" s="28">
        <v>6.4888888888888718E-2</v>
      </c>
    </row>
    <row r="10" spans="1:8">
      <c r="B10" s="28" t="s">
        <v>42</v>
      </c>
      <c r="C10" s="28" t="s">
        <v>23</v>
      </c>
      <c r="D10" s="28">
        <v>205000</v>
      </c>
      <c r="E10" s="28">
        <v>0</v>
      </c>
      <c r="F10" s="28">
        <v>0.24666666666666665</v>
      </c>
      <c r="G10" s="28">
        <v>1.389333333333334</v>
      </c>
      <c r="H10" s="28">
        <v>5.5999999999999661E-2</v>
      </c>
    </row>
    <row r="11" spans="1:8">
      <c r="B11" s="28" t="s">
        <v>43</v>
      </c>
      <c r="C11" s="28" t="s">
        <v>22</v>
      </c>
      <c r="D11" s="28">
        <v>65000</v>
      </c>
      <c r="E11" s="28">
        <v>0</v>
      </c>
      <c r="F11" s="28">
        <v>0.19800000000000006</v>
      </c>
      <c r="G11" s="28">
        <v>6.4888888888888788E-2</v>
      </c>
      <c r="H11" s="28">
        <v>5.5511151231257827E-17</v>
      </c>
    </row>
    <row r="12" spans="1:8">
      <c r="B12" s="28" t="s">
        <v>44</v>
      </c>
      <c r="C12" s="28" t="s">
        <v>21</v>
      </c>
      <c r="D12" s="28">
        <v>195000</v>
      </c>
      <c r="E12" s="28">
        <v>0</v>
      </c>
      <c r="F12" s="28">
        <v>0.19800000000000006</v>
      </c>
      <c r="G12" s="28">
        <v>4.296296296296287E-2</v>
      </c>
      <c r="H12" s="28">
        <v>0.15437037037037044</v>
      </c>
    </row>
    <row r="13" spans="1:8">
      <c r="B13" s="28" t="s">
        <v>45</v>
      </c>
      <c r="C13" s="28" t="s">
        <v>20</v>
      </c>
      <c r="D13" s="28">
        <v>0</v>
      </c>
      <c r="E13" s="28">
        <v>-9.7333333333333077E-2</v>
      </c>
      <c r="F13" s="28">
        <v>0.22200000000000009</v>
      </c>
      <c r="G13" s="28">
        <v>9.7333333333333077E-2</v>
      </c>
      <c r="H13" s="28">
        <v>1E+30</v>
      </c>
    </row>
    <row r="14" spans="1:8">
      <c r="B14" s="28" t="s">
        <v>46</v>
      </c>
      <c r="C14" s="28" t="s">
        <v>19</v>
      </c>
      <c r="D14" s="28">
        <v>2000000</v>
      </c>
      <c r="E14" s="28">
        <v>0</v>
      </c>
      <c r="F14" s="28">
        <v>0.22199999999999998</v>
      </c>
      <c r="G14" s="28">
        <v>1E+30</v>
      </c>
      <c r="H14" s="28">
        <v>4.8333333333333228E-2</v>
      </c>
    </row>
    <row r="15" spans="1:8">
      <c r="B15" s="28" t="s">
        <v>115</v>
      </c>
      <c r="C15" s="28" t="s">
        <v>109</v>
      </c>
      <c r="D15" s="28">
        <v>80000</v>
      </c>
      <c r="E15" s="28">
        <v>0</v>
      </c>
      <c r="F15" s="28">
        <v>-3.3333333333334103E-3</v>
      </c>
      <c r="G15" s="28">
        <v>1E+30</v>
      </c>
      <c r="H15" s="28">
        <v>5.5511151231257827E-17</v>
      </c>
    </row>
    <row r="16" spans="1:8">
      <c r="B16" s="28" t="s">
        <v>116</v>
      </c>
      <c r="C16" s="28" t="s">
        <v>110</v>
      </c>
      <c r="D16" s="28">
        <v>0</v>
      </c>
      <c r="E16" s="28">
        <v>-5.5511151231257827E-17</v>
      </c>
      <c r="F16" s="28">
        <v>-5.2000000000000046E-2</v>
      </c>
      <c r="G16" s="28">
        <v>5.5511151231257827E-17</v>
      </c>
      <c r="H16" s="28">
        <v>1E+30</v>
      </c>
    </row>
    <row r="17" spans="1:8" ht="17" thickBot="1">
      <c r="B17" s="27" t="s">
        <v>117</v>
      </c>
      <c r="C17" s="27" t="s">
        <v>111</v>
      </c>
      <c r="D17" s="27">
        <v>0</v>
      </c>
      <c r="E17" s="27">
        <v>-9.7333333333333133E-2</v>
      </c>
      <c r="F17" s="27">
        <v>-2.8000000000000025E-2</v>
      </c>
      <c r="G17" s="27">
        <v>9.7333333333333133E-2</v>
      </c>
      <c r="H17" s="27">
        <v>1E+30</v>
      </c>
    </row>
    <row r="19" spans="1:8" ht="17" thickBot="1">
      <c r="A19" t="s">
        <v>13</v>
      </c>
    </row>
    <row r="20" spans="1:8">
      <c r="B20" s="44"/>
      <c r="C20" s="44"/>
      <c r="D20" s="44" t="s">
        <v>66</v>
      </c>
      <c r="E20" s="44" t="s">
        <v>75</v>
      </c>
      <c r="F20" s="44" t="s">
        <v>77</v>
      </c>
      <c r="G20" s="44" t="s">
        <v>72</v>
      </c>
      <c r="H20" s="44" t="s">
        <v>72</v>
      </c>
    </row>
    <row r="21" spans="1:8" ht="17" thickBot="1">
      <c r="B21" s="45" t="s">
        <v>38</v>
      </c>
      <c r="C21" s="45" t="s">
        <v>39</v>
      </c>
      <c r="D21" s="45" t="s">
        <v>67</v>
      </c>
      <c r="E21" s="45" t="s">
        <v>76</v>
      </c>
      <c r="F21" s="45" t="s">
        <v>78</v>
      </c>
      <c r="G21" s="45" t="s">
        <v>73</v>
      </c>
      <c r="H21" s="45" t="s">
        <v>74</v>
      </c>
    </row>
    <row r="22" spans="1:8">
      <c r="B22" s="28" t="s">
        <v>47</v>
      </c>
      <c r="C22" s="28" t="s">
        <v>102</v>
      </c>
      <c r="D22" s="28">
        <v>6560000</v>
      </c>
      <c r="E22" s="28">
        <v>-2.4333333333333283E-2</v>
      </c>
      <c r="F22" s="28">
        <v>0</v>
      </c>
      <c r="G22" s="28">
        <v>546666.66666666663</v>
      </c>
      <c r="H22" s="28">
        <v>520000</v>
      </c>
    </row>
    <row r="23" spans="1:8">
      <c r="B23" s="28" t="s">
        <v>49</v>
      </c>
      <c r="C23" s="28" t="s">
        <v>103</v>
      </c>
      <c r="D23" s="28">
        <v>1560000</v>
      </c>
      <c r="E23" s="28">
        <v>-2.4333333333333297E-2</v>
      </c>
      <c r="F23" s="28">
        <v>0</v>
      </c>
      <c r="G23" s="28">
        <v>1426666.6666666667</v>
      </c>
      <c r="H23" s="28">
        <v>173333.33333333334</v>
      </c>
    </row>
    <row r="24" spans="1:8">
      <c r="B24" s="28" t="s">
        <v>88</v>
      </c>
      <c r="C24" s="28" t="s">
        <v>104</v>
      </c>
      <c r="D24" s="28">
        <v>260000</v>
      </c>
      <c r="E24" s="28">
        <v>0</v>
      </c>
      <c r="F24" s="28">
        <v>1000000</v>
      </c>
      <c r="G24" s="28">
        <v>1E+30</v>
      </c>
      <c r="H24" s="28">
        <v>740000</v>
      </c>
    </row>
    <row r="25" spans="1:8">
      <c r="B25" s="28" t="s">
        <v>53</v>
      </c>
      <c r="C25" s="28" t="s">
        <v>105</v>
      </c>
      <c r="D25" s="28">
        <v>2000000</v>
      </c>
      <c r="E25" s="28">
        <v>4.8333333333333228E-2</v>
      </c>
      <c r="F25" s="28">
        <v>2000000</v>
      </c>
      <c r="G25" s="28">
        <v>173333.33333333334</v>
      </c>
      <c r="H25" s="28">
        <v>493333.33333333331</v>
      </c>
    </row>
    <row r="26" spans="1:8">
      <c r="B26" s="28" t="s">
        <v>89</v>
      </c>
      <c r="C26" s="28" t="s">
        <v>106</v>
      </c>
      <c r="D26" s="28">
        <v>600000</v>
      </c>
      <c r="E26" s="28">
        <v>0.27099999999999991</v>
      </c>
      <c r="F26" s="28">
        <v>600000</v>
      </c>
      <c r="G26" s="28">
        <v>520000</v>
      </c>
      <c r="H26" s="28">
        <v>475555.55555555556</v>
      </c>
    </row>
    <row r="27" spans="1:8">
      <c r="B27" s="28" t="s">
        <v>99</v>
      </c>
      <c r="C27" s="28" t="s">
        <v>107</v>
      </c>
      <c r="D27" s="28">
        <v>2400000</v>
      </c>
      <c r="E27" s="28">
        <v>0.17366666666666675</v>
      </c>
      <c r="F27" s="28">
        <v>2400000</v>
      </c>
      <c r="G27" s="28">
        <v>493333.33333333331</v>
      </c>
      <c r="H27" s="28">
        <v>173333.33333333334</v>
      </c>
    </row>
    <row r="28" spans="1:8" ht="17" thickBot="1">
      <c r="B28" s="27" t="s">
        <v>59</v>
      </c>
      <c r="C28" s="27" t="s">
        <v>118</v>
      </c>
      <c r="D28" s="27">
        <v>80000</v>
      </c>
      <c r="E28" s="51">
        <v>2.0999999999999873E-2</v>
      </c>
      <c r="F28" s="27">
        <v>80000</v>
      </c>
      <c r="G28" s="27">
        <v>520000</v>
      </c>
      <c r="H28" s="27">
        <v>80000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14E621-BB09-4E70-9A71-EB2BCB0054FA}">
  <dimension ref="A1:I33"/>
  <sheetViews>
    <sheetView workbookViewId="0">
      <selection activeCell="K19" sqref="K19"/>
    </sheetView>
  </sheetViews>
  <sheetFormatPr baseColWidth="10" defaultColWidth="10.83203125" defaultRowHeight="15"/>
  <cols>
    <col min="1" max="1" width="16.1640625" style="1" customWidth="1"/>
    <col min="2" max="2" width="30.83203125" style="1" customWidth="1"/>
    <col min="3" max="3" width="14.83203125" style="1" customWidth="1"/>
    <col min="4" max="4" width="11.1640625" style="1" bestFit="1" customWidth="1"/>
    <col min="5" max="5" width="11" style="1" bestFit="1" customWidth="1"/>
    <col min="6" max="6" width="12.6640625" style="1" bestFit="1" customWidth="1"/>
    <col min="7" max="7" width="11.1640625" style="1" bestFit="1" customWidth="1"/>
    <col min="8" max="8" width="23" style="1" customWidth="1"/>
    <col min="9" max="16384" width="10.83203125" style="1"/>
  </cols>
  <sheetData>
    <row r="1" spans="1:9" ht="98" customHeight="1" thickBot="1">
      <c r="A1" s="18" t="s">
        <v>35</v>
      </c>
      <c r="B1" s="17" t="s">
        <v>34</v>
      </c>
      <c r="C1" s="17" t="s">
        <v>33</v>
      </c>
      <c r="D1" s="17" t="s">
        <v>32</v>
      </c>
      <c r="E1" s="17" t="s">
        <v>31</v>
      </c>
      <c r="F1" s="17" t="s">
        <v>30</v>
      </c>
    </row>
    <row r="2" spans="1:9" ht="18" thickBot="1">
      <c r="A2" s="15" t="s">
        <v>29</v>
      </c>
      <c r="B2" s="14">
        <v>12</v>
      </c>
      <c r="C2" s="12">
        <v>18</v>
      </c>
      <c r="D2" s="14">
        <v>7.56</v>
      </c>
      <c r="E2" s="16" t="s">
        <v>28</v>
      </c>
      <c r="F2" s="12">
        <v>8</v>
      </c>
    </row>
    <row r="3" spans="1:9" ht="18" thickBot="1">
      <c r="A3" s="15" t="s">
        <v>27</v>
      </c>
      <c r="B3" s="14">
        <v>13.5</v>
      </c>
      <c r="C3" s="12">
        <v>20</v>
      </c>
      <c r="D3" s="14">
        <v>9.5399999999999991</v>
      </c>
      <c r="E3" s="13">
        <v>50000</v>
      </c>
      <c r="F3" s="12">
        <v>6</v>
      </c>
    </row>
    <row r="4" spans="1:9" ht="18" thickBot="1">
      <c r="A4" s="15" t="s">
        <v>26</v>
      </c>
      <c r="B4" s="14">
        <v>11.4</v>
      </c>
      <c r="C4" s="12">
        <v>25</v>
      </c>
      <c r="D4" s="14">
        <v>5.85</v>
      </c>
      <c r="E4" s="13">
        <v>80000</v>
      </c>
      <c r="F4" s="12">
        <v>5</v>
      </c>
      <c r="H4" s="33"/>
    </row>
    <row r="5" spans="1:9" ht="17" thickBot="1">
      <c r="A5" s="11"/>
      <c r="B5" s="10"/>
      <c r="C5" s="8"/>
      <c r="D5" s="10"/>
      <c r="E5" s="9"/>
      <c r="F5" s="8"/>
    </row>
    <row r="6" spans="1:9" ht="28" customHeight="1" thickBot="1">
      <c r="A6" s="55" t="s">
        <v>25</v>
      </c>
      <c r="B6" s="56"/>
      <c r="C6" s="56"/>
      <c r="D6" s="56"/>
      <c r="E6" s="56"/>
      <c r="F6" s="57"/>
    </row>
    <row r="7" spans="1:9" ht="17">
      <c r="A7" s="7" t="s">
        <v>24</v>
      </c>
      <c r="B7" s="5" t="s">
        <v>23</v>
      </c>
      <c r="C7" s="5" t="s">
        <v>22</v>
      </c>
      <c r="D7" s="5" t="s">
        <v>21</v>
      </c>
      <c r="E7" s="5" t="s">
        <v>20</v>
      </c>
      <c r="F7" s="5" t="s">
        <v>19</v>
      </c>
      <c r="G7" s="3" t="s">
        <v>109</v>
      </c>
      <c r="H7" s="3" t="s">
        <v>110</v>
      </c>
      <c r="I7" s="3" t="s">
        <v>111</v>
      </c>
    </row>
    <row r="8" spans="1:9">
      <c r="A8" s="20">
        <v>535000</v>
      </c>
      <c r="B8" s="20">
        <v>205000</v>
      </c>
      <c r="C8" s="20">
        <v>65000</v>
      </c>
      <c r="D8" s="20">
        <v>195000</v>
      </c>
      <c r="E8" s="20">
        <v>0</v>
      </c>
      <c r="F8" s="20">
        <v>2000000</v>
      </c>
      <c r="G8" s="47">
        <v>80000</v>
      </c>
      <c r="H8" s="48">
        <v>0</v>
      </c>
      <c r="I8" s="48">
        <v>0</v>
      </c>
    </row>
    <row r="10" spans="1:9">
      <c r="A10" s="58" t="s">
        <v>18</v>
      </c>
      <c r="B10" s="58"/>
      <c r="C10" s="58"/>
      <c r="D10" s="58"/>
      <c r="E10" s="58"/>
      <c r="F10" s="58"/>
    </row>
    <row r="12" spans="1:9" ht="96">
      <c r="A12" s="6" t="s">
        <v>17</v>
      </c>
      <c r="B12" s="41" t="s">
        <v>82</v>
      </c>
      <c r="C12" s="24">
        <f>E13*(A8+B8)+E15*(C8+D8)+E17*(E8+F8)+F13*G8+F15*H8+F17*I8</f>
        <v>677746.66666666674</v>
      </c>
      <c r="E12" s="34" t="s">
        <v>81</v>
      </c>
      <c r="F12" s="49" t="s">
        <v>112</v>
      </c>
      <c r="H12" s="39" t="s">
        <v>84</v>
      </c>
    </row>
    <row r="13" spans="1:9">
      <c r="A13" s="21">
        <f>(12/18-7.56/18)-((A8*0.06+B8*0.12)/(A8+B8))</f>
        <v>0.17004504504504503</v>
      </c>
      <c r="E13" s="38">
        <f>(12/18) - (7.56/18)</f>
        <v>0.24666666666666665</v>
      </c>
      <c r="F13" s="50">
        <f>E13-0.25</f>
        <v>-3.3333333333333548E-3</v>
      </c>
      <c r="H13" s="24">
        <f>C12-0.06*SUM(A8:F8)</f>
        <v>497746.66666666674</v>
      </c>
    </row>
    <row r="14" spans="1:9">
      <c r="A14" s="22" t="s">
        <v>16</v>
      </c>
      <c r="E14" s="36" t="s">
        <v>16</v>
      </c>
    </row>
    <row r="15" spans="1:9">
      <c r="A15" s="21">
        <f>(13.5/20 - 9.54/20) - ((C8*0.06 + D8*0.12)/(C8+ D8))</f>
        <v>9.3000000000000069E-2</v>
      </c>
      <c r="E15" s="38">
        <f>(13.5/20) - (9.54/20)</f>
        <v>0.19800000000000006</v>
      </c>
      <c r="F15" s="50">
        <f>E15-0.25</f>
        <v>-5.1999999999999935E-2</v>
      </c>
    </row>
    <row r="16" spans="1:9">
      <c r="A16" s="22" t="s">
        <v>15</v>
      </c>
      <c r="E16" s="36" t="s">
        <v>15</v>
      </c>
    </row>
    <row r="17" spans="1:6">
      <c r="A17" s="21">
        <f>(11.4/25 - 5.85/25) - 0.12</f>
        <v>0.10200000000000004</v>
      </c>
      <c r="E17" s="38">
        <f>(11.4/25) - (5.85/25)</f>
        <v>0.22200000000000003</v>
      </c>
      <c r="F17" s="50">
        <f>E17-0.25</f>
        <v>-2.7999999999999969E-2</v>
      </c>
    </row>
    <row r="19" spans="1:6" ht="16" customHeight="1">
      <c r="A19" s="59" t="s">
        <v>13</v>
      </c>
      <c r="B19" s="59"/>
      <c r="C19" s="59"/>
      <c r="D19" s="59"/>
      <c r="E19" s="59"/>
      <c r="F19" s="59"/>
    </row>
    <row r="20" spans="1:6" ht="16" customHeight="1"/>
    <row r="21" spans="1:6">
      <c r="B21" s="40" t="s">
        <v>100</v>
      </c>
    </row>
    <row r="22" spans="1:6">
      <c r="A22" s="54" t="s">
        <v>12</v>
      </c>
      <c r="B22" s="54"/>
      <c r="C22" s="54"/>
      <c r="D22" s="54"/>
      <c r="E22" s="54"/>
    </row>
    <row r="23" spans="1:6">
      <c r="A23" s="1" t="s">
        <v>11</v>
      </c>
      <c r="B23" s="2">
        <f>(9*A8)+(5*B8)+(9*G8)</f>
        <v>6560000</v>
      </c>
      <c r="C23" s="1" t="s">
        <v>4</v>
      </c>
      <c r="D23" s="2">
        <f>8*(A8+B8+G8)</f>
        <v>6560000</v>
      </c>
    </row>
    <row r="24" spans="1:6">
      <c r="A24" s="1" t="s">
        <v>10</v>
      </c>
      <c r="B24" s="2">
        <f>(9*C8)+(5*D8)+(9*H8)</f>
        <v>1560000</v>
      </c>
      <c r="C24" s="1" t="s">
        <v>4</v>
      </c>
      <c r="D24" s="2">
        <f>6*(C8+D8+H8)</f>
        <v>1560000</v>
      </c>
    </row>
    <row r="25" spans="1:6">
      <c r="A25" s="60" t="s">
        <v>8</v>
      </c>
      <c r="B25" s="60"/>
      <c r="C25" s="60"/>
      <c r="D25" s="60"/>
      <c r="E25" s="60"/>
      <c r="F25" s="60"/>
    </row>
    <row r="26" spans="1:6">
      <c r="A26" s="1" t="s">
        <v>7</v>
      </c>
      <c r="B26" s="2">
        <f>(C8+D8+H8)</f>
        <v>260000</v>
      </c>
      <c r="C26" s="1" t="s">
        <v>0</v>
      </c>
      <c r="D26" s="2">
        <f>50000*20</f>
        <v>1000000</v>
      </c>
    </row>
    <row r="27" spans="1:6">
      <c r="A27" s="1" t="s">
        <v>6</v>
      </c>
      <c r="B27" s="2">
        <f>(E8+F8+I8)</f>
        <v>2000000</v>
      </c>
      <c r="C27" s="1" t="s">
        <v>0</v>
      </c>
      <c r="D27" s="2">
        <f>80000*25</f>
        <v>2000000</v>
      </c>
    </row>
    <row r="29" spans="1:6">
      <c r="A29" s="54" t="s">
        <v>3</v>
      </c>
      <c r="B29" s="54"/>
      <c r="C29" s="54"/>
      <c r="D29" s="54"/>
    </row>
    <row r="30" spans="1:6">
      <c r="A30" s="1" t="s">
        <v>2</v>
      </c>
      <c r="B30" s="2">
        <f>A8+C8+E8</f>
        <v>600000</v>
      </c>
      <c r="C30" s="1" t="s">
        <v>0</v>
      </c>
      <c r="D30" s="2">
        <f>600000</f>
        <v>600000</v>
      </c>
    </row>
    <row r="31" spans="1:6">
      <c r="A31" s="1" t="s">
        <v>1</v>
      </c>
      <c r="B31" s="2">
        <f>B8+D8+F8</f>
        <v>2400000</v>
      </c>
      <c r="C31" s="1" t="s">
        <v>0</v>
      </c>
      <c r="D31" s="2">
        <f>2400000</f>
        <v>2400000</v>
      </c>
    </row>
    <row r="33" spans="1:4">
      <c r="A33" s="39" t="s">
        <v>108</v>
      </c>
      <c r="B33" s="25">
        <f>SUM(G8:I8)</f>
        <v>80000</v>
      </c>
      <c r="C33" s="39" t="s">
        <v>0</v>
      </c>
      <c r="D33" s="1">
        <v>80000</v>
      </c>
    </row>
  </sheetData>
  <mergeCells count="6">
    <mergeCell ref="A29:D29"/>
    <mergeCell ref="A6:F6"/>
    <mergeCell ref="A10:F10"/>
    <mergeCell ref="A19:F19"/>
    <mergeCell ref="A22:E22"/>
    <mergeCell ref="A25:F25"/>
  </mergeCells>
  <pageMargins left="0.7" right="0.7" top="0.75" bottom="0.75" header="0.3" footer="0.3"/>
  <pageSetup paperSize="0" orientation="portrait" horizontalDpi="0" verticalDpi="0" copie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Sensitivity Report 1</vt:lpstr>
      <vt:lpstr>Sensitivity Report 2</vt:lpstr>
      <vt:lpstr>Solver</vt:lpstr>
      <vt:lpstr>Sensitivity Report Solution 1</vt:lpstr>
      <vt:lpstr>Solver - Solution 1</vt:lpstr>
      <vt:lpstr>Sensitivity Report Solution 2</vt:lpstr>
      <vt:lpstr>Solver - Solution 2 (Clean)</vt:lpstr>
      <vt:lpstr>Sensitivity Report With New A</vt:lpstr>
      <vt:lpstr>Solver - Solution 3 (New A)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Marissa Cheplick</dc:creator>
  <cp:lastModifiedBy>Cheplick, Marissa</cp:lastModifiedBy>
  <dcterms:created xsi:type="dcterms:W3CDTF">2026-02-19T02:53:30Z</dcterms:created>
  <dcterms:modified xsi:type="dcterms:W3CDTF">2026-04-24T02:18:45Z</dcterms:modified>
</cp:coreProperties>
</file>