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owner/Documents/UP Courses/D_Mod/"/>
    </mc:Choice>
  </mc:AlternateContent>
  <xr:revisionPtr revIDLastSave="0" documentId="13_ncr:1_{7B33070E-5AC1-814C-AE29-34C642C6B49F}" xr6:coauthVersionLast="47" xr6:coauthVersionMax="47" xr10:uidLastSave="{00000000-0000-0000-0000-000000000000}"/>
  <bookViews>
    <workbookView xWindow="4900" yWindow="860" windowWidth="24320" windowHeight="15860" activeTab="3" xr2:uid="{EECFCEB2-AB67-4E0D-BD76-CBE39200F73A}"/>
  </bookViews>
  <sheets>
    <sheet name="Sensitivity Report 2" sheetId="7" r:id="rId1"/>
    <sheet name="Sensitivity Report 3" sheetId="8" r:id="rId2"/>
    <sheet name="Bond Investment" sheetId="2" r:id="rId3"/>
    <sheet name="Analysis" sheetId="3" r:id="rId4"/>
    <sheet name="Sensitivity Report 1" sheetId="5" r:id="rId5"/>
    <sheet name="Answer Report 1" sheetId="6" r:id="rId6"/>
  </sheets>
  <definedNames>
    <definedName name="solver_adj" localSheetId="3" hidden="1">Analysis!$B$2:$B$3</definedName>
    <definedName name="solver_adj" localSheetId="2" hidden="1">'Bond Investment'!$F$8:$F$13</definedName>
    <definedName name="solver_cvg" localSheetId="3" hidden="1">0.0001</definedName>
    <definedName name="solver_cvg" localSheetId="2" hidden="1">0.0001</definedName>
    <definedName name="solver_drv" localSheetId="3" hidden="1">1</definedName>
    <definedName name="solver_drv" localSheetId="2" hidden="1">1</definedName>
    <definedName name="solver_eng" localSheetId="3" hidden="1">2</definedName>
    <definedName name="solver_eng" localSheetId="2" hidden="1">2</definedName>
    <definedName name="solver_est" localSheetId="2" hidden="1">1</definedName>
    <definedName name="solver_itr" localSheetId="3" hidden="1">2147483647</definedName>
    <definedName name="solver_itr" localSheetId="2" hidden="1">2147483647</definedName>
    <definedName name="solver_lhs1" localSheetId="3" hidden="1">Analysis!$B$7:$B$9</definedName>
    <definedName name="solver_lhs1" localSheetId="2" hidden="1">'Bond Investment'!$B$23:$B$29</definedName>
    <definedName name="solver_lhs2" localSheetId="2" hidden="1">'Bond Investment'!$B$30</definedName>
    <definedName name="solver_lhs3" localSheetId="2" hidden="1">'Bond Investment'!$B$31</definedName>
    <definedName name="solver_lhs4" localSheetId="2" hidden="1">'Bond Investment'!#REF!</definedName>
    <definedName name="solver_lin" localSheetId="3" hidden="1">1</definedName>
    <definedName name="solver_lin" localSheetId="2" hidden="1">1</definedName>
    <definedName name="solver_mip" localSheetId="3" hidden="1">2147483647</definedName>
    <definedName name="solver_mip" localSheetId="2" hidden="1">2147483647</definedName>
    <definedName name="solver_mni" localSheetId="3" hidden="1">30</definedName>
    <definedName name="solver_mni" localSheetId="2" hidden="1">30</definedName>
    <definedName name="solver_mrt" localSheetId="3" hidden="1">0.075</definedName>
    <definedName name="solver_mrt" localSheetId="2" hidden="1">0.075</definedName>
    <definedName name="solver_msl" localSheetId="3" hidden="1">2</definedName>
    <definedName name="solver_msl" localSheetId="2" hidden="1">2</definedName>
    <definedName name="solver_neg" localSheetId="3" hidden="1">1</definedName>
    <definedName name="solver_neg" localSheetId="2" hidden="1">1</definedName>
    <definedName name="solver_nod" localSheetId="3" hidden="1">2147483647</definedName>
    <definedName name="solver_nod" localSheetId="2" hidden="1">2147483647</definedName>
    <definedName name="solver_num" localSheetId="3" hidden="1">1</definedName>
    <definedName name="solver_num" localSheetId="2" hidden="1">3</definedName>
    <definedName name="solver_nwt" localSheetId="2" hidden="1">1</definedName>
    <definedName name="solver_opt" localSheetId="3" hidden="1">Analysis!$H$2</definedName>
    <definedName name="solver_opt" localSheetId="2" hidden="1">'Bond Investment'!$G$8</definedName>
    <definedName name="solver_pre" localSheetId="3" hidden="1">0.000001</definedName>
    <definedName name="solver_pre" localSheetId="2" hidden="1">0.000001</definedName>
    <definedName name="solver_rbv" localSheetId="3" hidden="1">1</definedName>
    <definedName name="solver_rbv" localSheetId="2" hidden="1">1</definedName>
    <definedName name="solver_rel1" localSheetId="3" hidden="1">1</definedName>
    <definedName name="solver_rel1" localSheetId="2" hidden="1">1</definedName>
    <definedName name="solver_rel2" localSheetId="2" hidden="1">3</definedName>
    <definedName name="solver_rel3" localSheetId="2" hidden="1">1</definedName>
    <definedName name="solver_rel4" localSheetId="2" hidden="1">1</definedName>
    <definedName name="solver_rhs1" localSheetId="3" hidden="1">Analysis!$D$7:$D$9</definedName>
    <definedName name="solver_rhs1" localSheetId="2" hidden="1">'Bond Investment'!$D$23:$D$29</definedName>
    <definedName name="solver_rhs2" localSheetId="2" hidden="1">'Bond Investment'!$D$30</definedName>
    <definedName name="solver_rhs3" localSheetId="2" hidden="1">'Bond Investment'!$D$31</definedName>
    <definedName name="solver_rhs4" localSheetId="2" hidden="1">'Bond Investment'!$C$27</definedName>
    <definedName name="solver_rlx" localSheetId="3" hidden="1">1</definedName>
    <definedName name="solver_rlx" localSheetId="2" hidden="1">2</definedName>
    <definedName name="solver_rsd" localSheetId="3" hidden="1">0</definedName>
    <definedName name="solver_rsd" localSheetId="2" hidden="1">0</definedName>
    <definedName name="solver_scl" localSheetId="3" hidden="1">2</definedName>
    <definedName name="solver_scl" localSheetId="2" hidden="1">1</definedName>
    <definedName name="solver_sho" localSheetId="3" hidden="1">2</definedName>
    <definedName name="solver_sho" localSheetId="2" hidden="1">2</definedName>
    <definedName name="solver_ssz" localSheetId="3" hidden="1">100</definedName>
    <definedName name="solver_ssz" localSheetId="2" hidden="1">100</definedName>
    <definedName name="solver_tim" localSheetId="3" hidden="1">2147483647</definedName>
    <definedName name="solver_tim" localSheetId="2" hidden="1">2147483647</definedName>
    <definedName name="solver_tol" localSheetId="3" hidden="1">0.01</definedName>
    <definedName name="solver_tol" localSheetId="2" hidden="1">0.01</definedName>
    <definedName name="solver_typ" localSheetId="3" hidden="1">1</definedName>
    <definedName name="solver_typ" localSheetId="2" hidden="1">1</definedName>
    <definedName name="solver_val" localSheetId="3" hidden="1">0</definedName>
    <definedName name="solver_val" localSheetId="2" hidden="1">0</definedName>
    <definedName name="solver_ver" localSheetId="3" hidden="1">2</definedName>
    <definedName name="solver_ver" localSheetId="2"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9" i="2" l="1"/>
  <c r="B28" i="2"/>
  <c r="B27" i="2"/>
  <c r="B26" i="2"/>
  <c r="B25" i="2"/>
  <c r="B31" i="2"/>
  <c r="B30" i="2"/>
  <c r="G8" i="2"/>
  <c r="B24" i="2"/>
  <c r="B23" i="2"/>
  <c r="F15" i="2"/>
  <c r="D25" i="2" s="1"/>
  <c r="B20" i="2"/>
  <c r="F14" i="2"/>
  <c r="D23" i="2" s="1"/>
  <c r="B9" i="3"/>
  <c r="B8" i="3"/>
  <c r="B7" i="3"/>
  <c r="H2" i="3"/>
  <c r="D31" i="2" l="1"/>
  <c r="D30" i="2"/>
  <c r="D24" i="2"/>
  <c r="D29" i="2"/>
  <c r="D28" i="2"/>
  <c r="D27" i="2"/>
  <c r="D26" i="2"/>
</calcChain>
</file>

<file path=xl/sharedStrings.xml><?xml version="1.0" encoding="utf-8"?>
<sst xmlns="http://schemas.openxmlformats.org/spreadsheetml/2006/main" count="253" uniqueCount="135">
  <si>
    <t xml:space="preserve">A financial analyst at Fidelity Investments is assisting a senior client with the investment of $750,000 in liquid cash that yields favorable returns. Bonds issued by corporations are chosen as the first option. There are currently six organizations that issue corporate bonds. Even though the risk is low, given the customer's age, the company decided not to invest more than 25 percent in a single bond. Additionally, at least half of the funds must be invested in long-term bonds with maturities of 10 years or longer. No more than 35% of the total capital should be invested in bonds with Good or Fair ratings. </t>
  </si>
  <si>
    <t>Return %</t>
  </si>
  <si>
    <t>Years of Maturity</t>
  </si>
  <si>
    <t>Internal rating</t>
  </si>
  <si>
    <t>1 - Excellent;</t>
  </si>
  <si>
    <t>Puget Sound Energy</t>
  </si>
  <si>
    <t xml:space="preserve">2 - Very Good; </t>
  </si>
  <si>
    <t>Quanta Services Inc</t>
  </si>
  <si>
    <t>3 - Good;</t>
  </si>
  <si>
    <t xml:space="preserve">Royal Bank of Canada </t>
  </si>
  <si>
    <t>4 - Fair;</t>
  </si>
  <si>
    <t xml:space="preserve">San Diego Gas &amp; Electric </t>
  </si>
  <si>
    <t xml:space="preserve">Rogers Comm Inc </t>
  </si>
  <si>
    <t>Target Inc</t>
  </si>
  <si>
    <t>Rolltop</t>
  </si>
  <si>
    <t>Reg Desk</t>
  </si>
  <si>
    <t>Pine</t>
  </si>
  <si>
    <t>Cedar</t>
  </si>
  <si>
    <t>Maple</t>
  </si>
  <si>
    <t>Profit</t>
  </si>
  <si>
    <t xml:space="preserve">Objective </t>
  </si>
  <si>
    <t>Pine Constraint</t>
  </si>
  <si>
    <t>&lt;=</t>
  </si>
  <si>
    <t>Constraint</t>
  </si>
  <si>
    <t>Microsoft Excel 16.103 Sensitivity Report</t>
  </si>
  <si>
    <t>Worksheet: [Sp26 - Bond Investment.xlsx]Sheet1</t>
  </si>
  <si>
    <t>Variable Cells</t>
  </si>
  <si>
    <t>Cell</t>
  </si>
  <si>
    <t>Name</t>
  </si>
  <si>
    <t>Final</t>
  </si>
  <si>
    <t>Value</t>
  </si>
  <si>
    <t>Reduced</t>
  </si>
  <si>
    <t>Cost</t>
  </si>
  <si>
    <t>Objective</t>
  </si>
  <si>
    <t>Coefficient</t>
  </si>
  <si>
    <t>Allowable</t>
  </si>
  <si>
    <t>Increase</t>
  </si>
  <si>
    <t>Decrease</t>
  </si>
  <si>
    <t>Constraints</t>
  </si>
  <si>
    <t>Shadow</t>
  </si>
  <si>
    <t>Price</t>
  </si>
  <si>
    <t>R.H. Side</t>
  </si>
  <si>
    <t>$B$2</t>
  </si>
  <si>
    <t>Rolltop Decuision varilables</t>
  </si>
  <si>
    <t>$B$3</t>
  </si>
  <si>
    <t>Reg Desk Decuision varilables</t>
  </si>
  <si>
    <t>$B$7</t>
  </si>
  <si>
    <t>Pine Constraint Constraint</t>
  </si>
  <si>
    <t>$B$8</t>
  </si>
  <si>
    <t>Cedar Constraint</t>
  </si>
  <si>
    <t>$B$9</t>
  </si>
  <si>
    <t>Maple Constraint</t>
  </si>
  <si>
    <t>Report Created: 1/22/26 4:51:27 PM</t>
  </si>
  <si>
    <t>Microsoft Excel 16.103 Answer Report</t>
  </si>
  <si>
    <t>Report Created: 1/22/26 4:52:25 PM</t>
  </si>
  <si>
    <t>Result: Solver found a solution.  All constraints and optimality conditions are satisfied.</t>
  </si>
  <si>
    <t>Solver Engine</t>
  </si>
  <si>
    <t>Engine: Simplex LP</t>
  </si>
  <si>
    <t>Solution Time: 128.821 Seconds.</t>
  </si>
  <si>
    <t>Iterations: 2 Subproblems: 0</t>
  </si>
  <si>
    <t>Solver Options</t>
  </si>
  <si>
    <t>Max Time Unlimited, Iterations Unlimited, Precision 0.000001</t>
  </si>
  <si>
    <t>Max Subproblems Unlimited, Max Integer Sols Unlimited, Integer Tolerance 1%, Solve Without Integer Constraints, Assume NonNegative</t>
  </si>
  <si>
    <t>Objective Cell (Max)</t>
  </si>
  <si>
    <t>Original Value</t>
  </si>
  <si>
    <t>Final Value</t>
  </si>
  <si>
    <t>Integer</t>
  </si>
  <si>
    <t>Cell Value</t>
  </si>
  <si>
    <t>Formula</t>
  </si>
  <si>
    <t>Status</t>
  </si>
  <si>
    <t>Slack</t>
  </si>
  <si>
    <t>$H$2</t>
  </si>
  <si>
    <t xml:space="preserve">Rolltop Objective </t>
  </si>
  <si>
    <t>Contin</t>
  </si>
  <si>
    <t>$B$7&lt;=$D$7</t>
  </si>
  <si>
    <t>Binding</t>
  </si>
  <si>
    <t>$B$8&lt;=$D$8</t>
  </si>
  <si>
    <t>Not Binding</t>
  </si>
  <si>
    <t>$B$9&lt;=$D$9</t>
  </si>
  <si>
    <t>*above 128, no additional profit, non-binding contraints use the lower limit,OPTIMAL</t>
  </si>
  <si>
    <t>25% each bond</t>
  </si>
  <si>
    <t>50% in Puget, Quanta, SD, Target</t>
  </si>
  <si>
    <t>65% in Puget, SD, Target</t>
  </si>
  <si>
    <t>35% in Quanta, Royal, Rogers</t>
  </si>
  <si>
    <t>Decision Variables</t>
  </si>
  <si>
    <t>750k</t>
  </si>
  <si>
    <t>Net Return</t>
  </si>
  <si>
    <t>Total Investment Constraint</t>
  </si>
  <si>
    <t>Total Investment</t>
  </si>
  <si>
    <t>25% on Puget Sound Energy</t>
  </si>
  <si>
    <t>25% onQuanta Services Inc</t>
  </si>
  <si>
    <t xml:space="preserve">25% onRoyal Bank of Canada </t>
  </si>
  <si>
    <t xml:space="preserve">25% on San Diego Gas &amp; Electric </t>
  </si>
  <si>
    <t xml:space="preserve">25% on Rogers Comm Inc </t>
  </si>
  <si>
    <t>25% on Target Inc</t>
  </si>
  <si>
    <t>&gt;=</t>
  </si>
  <si>
    <t>At least 50% in bonds w 10yrs maturity</t>
  </si>
  <si>
    <t>35% investment in Good or Fair Ratings</t>
  </si>
  <si>
    <t>Worksheet: [Sp26 - Bond Investment.xlsx]Bond Investment</t>
  </si>
  <si>
    <t>Report Created: 1/22/26 5:34:27 PM</t>
  </si>
  <si>
    <t>$F$8</t>
  </si>
  <si>
    <t>Puget Sound Energy Decision Variables</t>
  </si>
  <si>
    <t>$F$9</t>
  </si>
  <si>
    <t>Quanta Services Inc Decision Variables</t>
  </si>
  <si>
    <t>$F$10</t>
  </si>
  <si>
    <t>Royal Bank of Canada  Decision Variables</t>
  </si>
  <si>
    <t>$F$11</t>
  </si>
  <si>
    <t>San Diego Gas &amp; Electric  Decision Variables</t>
  </si>
  <si>
    <t>$F$12</t>
  </si>
  <si>
    <t>Rogers Comm Inc  Decision Variables</t>
  </si>
  <si>
    <t>$F$13</t>
  </si>
  <si>
    <t>Target Inc Decision Variables</t>
  </si>
  <si>
    <t>$B$23</t>
  </si>
  <si>
    <t>Total Investment Constraint 25% each bond</t>
  </si>
  <si>
    <t>$B$24</t>
  </si>
  <si>
    <t>25% on Puget Sound Energy 25% each bond</t>
  </si>
  <si>
    <t>$B$25</t>
  </si>
  <si>
    <t>25% onQuanta Services Inc 25% each bond</t>
  </si>
  <si>
    <t>$B$26</t>
  </si>
  <si>
    <t>25% onRoyal Bank of Canada  25% each bond</t>
  </si>
  <si>
    <t>$B$27</t>
  </si>
  <si>
    <t>25% on San Diego Gas &amp; Electric  25% each bond</t>
  </si>
  <si>
    <t>$B$28</t>
  </si>
  <si>
    <t>25% on Rogers Comm Inc  25% each bond</t>
  </si>
  <si>
    <t>$B$29</t>
  </si>
  <si>
    <t>25% on Target Inc 25% each bond</t>
  </si>
  <si>
    <t>$B$30</t>
  </si>
  <si>
    <t>At least 50% in bonds w 10yrs maturity 25% each bond</t>
  </si>
  <si>
    <t>$B$31</t>
  </si>
  <si>
    <t>35% investment in Good or Fair Ratings 25% each bond</t>
  </si>
  <si>
    <t>Report Created: 1/22/26 5:41:16 PM</t>
  </si>
  <si>
    <t>Gradient</t>
  </si>
  <si>
    <t>Lagrange</t>
  </si>
  <si>
    <t>Multiplier</t>
  </si>
  <si>
    <t>Decision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</si>
</sst>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11"/>
      <color indexed="18"/>
      <name val="Calibri"/>
      <family val="2"/>
      <scheme val="minor"/>
    </font>
    <font>
      <b/>
      <sz val="11"/>
      <color rgb="FF000000"/>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right/>
      <top style="medium">
        <color indexed="23"/>
      </top>
      <bottom style="medium">
        <color indexed="23"/>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3" fontId="2" fillId="0" borderId="0" applyFont="0" applyFill="0" applyBorder="0" applyAlignment="0" applyProtection="0"/>
  </cellStyleXfs>
  <cellXfs count="27">
    <xf numFmtId="0" fontId="0" fillId="0" borderId="0" xfId="0"/>
    <xf numFmtId="0" fontId="0" fillId="0" borderId="0" xfId="0" applyAlignment="1">
      <alignment horizontal="left" wrapText="1"/>
    </xf>
    <xf numFmtId="0" fontId="0" fillId="0" borderId="4" xfId="0" applyBorder="1"/>
    <xf numFmtId="0" fontId="1" fillId="0" borderId="4" xfId="0" applyFont="1" applyBorder="1"/>
    <xf numFmtId="0" fontId="1" fillId="0" borderId="0" xfId="0" applyFont="1"/>
    <xf numFmtId="0" fontId="0" fillId="0" borderId="7" xfId="0" applyBorder="1"/>
    <xf numFmtId="0" fontId="0" fillId="0" borderId="8" xfId="0" applyBorder="1"/>
    <xf numFmtId="0" fontId="3" fillId="0" borderId="5" xfId="0" applyFont="1" applyBorder="1" applyAlignment="1">
      <alignment horizontal="center"/>
    </xf>
    <xf numFmtId="0" fontId="3" fillId="0" borderId="6" xfId="0" applyFont="1" applyBorder="1" applyAlignment="1">
      <alignment horizontal="center"/>
    </xf>
    <xf numFmtId="0" fontId="3" fillId="0" borderId="9" xfId="0" applyFont="1" applyBorder="1" applyAlignment="1">
      <alignment horizontal="center"/>
    </xf>
    <xf numFmtId="0" fontId="0" fillId="2" borderId="4" xfId="0" applyFill="1" applyBorder="1"/>
    <xf numFmtId="0" fontId="0" fillId="3" borderId="4" xfId="0" applyFill="1" applyBorder="1"/>
    <xf numFmtId="0" fontId="1" fillId="0" borderId="0" xfId="0" applyFont="1" applyAlignment="1">
      <alignment wrapText="1"/>
    </xf>
    <xf numFmtId="0" fontId="1" fillId="0" borderId="10" xfId="0" applyFont="1" applyBorder="1"/>
    <xf numFmtId="0" fontId="0" fillId="5" borderId="0" xfId="0" applyFill="1"/>
    <xf numFmtId="0" fontId="0" fillId="0" borderId="0" xfId="0" applyAlignment="1">
      <alignment vertical="center" wrapText="1"/>
    </xf>
    <xf numFmtId="0" fontId="4" fillId="0" borderId="4" xfId="0" applyFont="1" applyBorder="1"/>
    <xf numFmtId="0" fontId="4" fillId="0" borderId="11" xfId="0" applyFont="1" applyBorder="1"/>
    <xf numFmtId="0" fontId="4" fillId="0" borderId="12" xfId="0" applyFont="1" applyBorder="1"/>
    <xf numFmtId="0" fontId="1" fillId="4" borderId="0" xfId="0" applyFont="1" applyFill="1" applyAlignment="1">
      <alignment wrapText="1"/>
    </xf>
    <xf numFmtId="43" fontId="0" fillId="0" borderId="0" xfId="1" applyFont="1" applyFill="1"/>
    <xf numFmtId="0" fontId="0" fillId="0" borderId="1"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8CFD-BC81-1B49-AE73-7F635A6CC2D6}">
  <dimension ref="A1:H27"/>
  <sheetViews>
    <sheetView showGridLines="0" workbookViewId="0">
      <selection sqref="A1:A3"/>
    </sheetView>
  </sheetViews>
  <sheetFormatPr baseColWidth="10" defaultRowHeight="15" x14ac:dyDescent="0.2"/>
  <cols>
    <col min="1" max="1" width="2.33203125" customWidth="1"/>
    <col min="2" max="2" width="6.1640625" bestFit="1" customWidth="1"/>
    <col min="3" max="3" width="43.5" bestFit="1" customWidth="1"/>
    <col min="4" max="4" width="7.1640625" bestFit="1" customWidth="1"/>
    <col min="5" max="5" width="8" bestFit="1" customWidth="1"/>
    <col min="6" max="6" width="9.6640625" bestFit="1" customWidth="1"/>
    <col min="7" max="7" width="9" bestFit="1" customWidth="1"/>
    <col min="8" max="8" width="12.1640625" bestFit="1" customWidth="1"/>
  </cols>
  <sheetData>
    <row r="1" spans="1:8" x14ac:dyDescent="0.2">
      <c r="A1" s="4" t="s">
        <v>24</v>
      </c>
    </row>
    <row r="2" spans="1:8" x14ac:dyDescent="0.2">
      <c r="A2" s="4" t="s">
        <v>98</v>
      </c>
    </row>
    <row r="3" spans="1:8" x14ac:dyDescent="0.2">
      <c r="A3" s="4" t="s">
        <v>99</v>
      </c>
    </row>
    <row r="6" spans="1:8" ht="16" thickBot="1" x14ac:dyDescent="0.25">
      <c r="A6" t="s">
        <v>26</v>
      </c>
    </row>
    <row r="7" spans="1:8" x14ac:dyDescent="0.2">
      <c r="B7" s="7"/>
      <c r="C7" s="7"/>
      <c r="D7" s="7" t="s">
        <v>29</v>
      </c>
      <c r="E7" s="7" t="s">
        <v>31</v>
      </c>
      <c r="F7" s="7" t="s">
        <v>33</v>
      </c>
      <c r="G7" s="7" t="s">
        <v>35</v>
      </c>
      <c r="H7" s="7" t="s">
        <v>35</v>
      </c>
    </row>
    <row r="8" spans="1:8" ht="16" thickBot="1" x14ac:dyDescent="0.25">
      <c r="B8" s="8" t="s">
        <v>27</v>
      </c>
      <c r="C8" s="8" t="s">
        <v>28</v>
      </c>
      <c r="D8" s="8" t="s">
        <v>30</v>
      </c>
      <c r="E8" s="8" t="s">
        <v>32</v>
      </c>
      <c r="F8" s="8" t="s">
        <v>34</v>
      </c>
      <c r="G8" s="8" t="s">
        <v>36</v>
      </c>
      <c r="H8" s="8" t="s">
        <v>37</v>
      </c>
    </row>
    <row r="9" spans="1:8" x14ac:dyDescent="0.2">
      <c r="B9" s="5" t="s">
        <v>100</v>
      </c>
      <c r="C9" s="5" t="s">
        <v>101</v>
      </c>
      <c r="D9" s="5">
        <v>0</v>
      </c>
      <c r="E9" s="5">
        <v>-8.499999999999952E-3</v>
      </c>
      <c r="F9" s="5">
        <v>1.0865</v>
      </c>
      <c r="G9" s="5">
        <v>8.499999999999952E-3</v>
      </c>
      <c r="H9" s="5">
        <v>1E+30</v>
      </c>
    </row>
    <row r="10" spans="1:8" x14ac:dyDescent="0.2">
      <c r="B10" s="5" t="s">
        <v>102</v>
      </c>
      <c r="C10" s="5" t="s">
        <v>103</v>
      </c>
      <c r="D10" s="5">
        <v>375000</v>
      </c>
      <c r="E10" s="5">
        <v>0</v>
      </c>
      <c r="F10" s="5">
        <v>1.0949999999999998</v>
      </c>
      <c r="G10" s="5">
        <v>5.0000000000003375E-3</v>
      </c>
      <c r="H10" s="5">
        <v>4.9999999999998934E-3</v>
      </c>
    </row>
    <row r="11" spans="1:8" x14ac:dyDescent="0.2">
      <c r="B11" s="5" t="s">
        <v>104</v>
      </c>
      <c r="C11" s="5" t="s">
        <v>105</v>
      </c>
      <c r="D11" s="5">
        <v>375000</v>
      </c>
      <c r="E11" s="5">
        <v>0</v>
      </c>
      <c r="F11" s="5">
        <v>1.1000000000000001</v>
      </c>
      <c r="G11" s="5">
        <v>1E+30</v>
      </c>
      <c r="H11" s="5">
        <v>5.0000000000003375E-3</v>
      </c>
    </row>
    <row r="12" spans="1:8" x14ac:dyDescent="0.2">
      <c r="B12" s="5" t="s">
        <v>106</v>
      </c>
      <c r="C12" s="5" t="s">
        <v>107</v>
      </c>
      <c r="D12" s="5">
        <v>0</v>
      </c>
      <c r="E12" s="5">
        <v>-7.4999999999998401E-3</v>
      </c>
      <c r="F12" s="5">
        <v>1.0874999999999999</v>
      </c>
      <c r="G12" s="5">
        <v>7.4999999999998401E-3</v>
      </c>
      <c r="H12" s="5">
        <v>1E+30</v>
      </c>
    </row>
    <row r="13" spans="1:8" x14ac:dyDescent="0.2">
      <c r="B13" s="5" t="s">
        <v>108</v>
      </c>
      <c r="C13" s="5" t="s">
        <v>109</v>
      </c>
      <c r="D13" s="5">
        <v>0</v>
      </c>
      <c r="E13" s="5">
        <v>-7.4999999999998401E-3</v>
      </c>
      <c r="F13" s="5">
        <v>1.0925000000000002</v>
      </c>
      <c r="G13" s="5">
        <v>7.4999999999998401E-3</v>
      </c>
      <c r="H13" s="5">
        <v>1E+30</v>
      </c>
    </row>
    <row r="14" spans="1:8" ht="16" thickBot="1" x14ac:dyDescent="0.25">
      <c r="B14" s="6" t="s">
        <v>110</v>
      </c>
      <c r="C14" s="6" t="s">
        <v>111</v>
      </c>
      <c r="D14" s="6">
        <v>0</v>
      </c>
      <c r="E14" s="6">
        <v>-4.9999999999998934E-3</v>
      </c>
      <c r="F14" s="6">
        <v>1.0899999999999999</v>
      </c>
      <c r="G14" s="6">
        <v>4.9999999999998934E-3</v>
      </c>
      <c r="H14" s="6">
        <v>1E+30</v>
      </c>
    </row>
    <row r="16" spans="1:8" ht="16" thickBot="1" x14ac:dyDescent="0.25">
      <c r="A16" t="s">
        <v>38</v>
      </c>
    </row>
    <row r="17" spans="2:8" x14ac:dyDescent="0.2">
      <c r="B17" s="7"/>
      <c r="C17" s="7"/>
      <c r="D17" s="7" t="s">
        <v>29</v>
      </c>
      <c r="E17" s="7" t="s">
        <v>39</v>
      </c>
      <c r="F17" s="7" t="s">
        <v>23</v>
      </c>
      <c r="G17" s="7" t="s">
        <v>35</v>
      </c>
      <c r="H17" s="7" t="s">
        <v>35</v>
      </c>
    </row>
    <row r="18" spans="2:8" ht="16" thickBot="1" x14ac:dyDescent="0.25">
      <c r="B18" s="8" t="s">
        <v>27</v>
      </c>
      <c r="C18" s="8" t="s">
        <v>28</v>
      </c>
      <c r="D18" s="8" t="s">
        <v>30</v>
      </c>
      <c r="E18" s="8" t="s">
        <v>40</v>
      </c>
      <c r="F18" s="8" t="s">
        <v>41</v>
      </c>
      <c r="G18" s="8" t="s">
        <v>36</v>
      </c>
      <c r="H18" s="8" t="s">
        <v>37</v>
      </c>
    </row>
    <row r="19" spans="2:8" x14ac:dyDescent="0.2">
      <c r="B19" s="5" t="s">
        <v>112</v>
      </c>
      <c r="C19" s="5" t="s">
        <v>113</v>
      </c>
      <c r="D19" s="5">
        <v>750000</v>
      </c>
      <c r="E19" s="5">
        <v>1.0974999999999999</v>
      </c>
      <c r="F19" s="5">
        <v>0</v>
      </c>
      <c r="G19" s="5">
        <v>1E+30</v>
      </c>
      <c r="H19" s="5">
        <v>749971.42857142864</v>
      </c>
    </row>
    <row r="20" spans="2:8" x14ac:dyDescent="0.2">
      <c r="B20" s="5" t="s">
        <v>114</v>
      </c>
      <c r="C20" s="5" t="s">
        <v>115</v>
      </c>
      <c r="D20" s="5">
        <v>0</v>
      </c>
      <c r="E20" s="5">
        <v>0</v>
      </c>
      <c r="F20" s="5">
        <v>0</v>
      </c>
      <c r="G20" s="5">
        <v>1E+30</v>
      </c>
      <c r="H20" s="5">
        <v>187500</v>
      </c>
    </row>
    <row r="21" spans="2:8" x14ac:dyDescent="0.2">
      <c r="B21" s="5" t="s">
        <v>116</v>
      </c>
      <c r="C21" s="5" t="s">
        <v>117</v>
      </c>
      <c r="D21" s="5">
        <v>2</v>
      </c>
      <c r="E21" s="5">
        <v>0</v>
      </c>
      <c r="F21" s="5">
        <v>0</v>
      </c>
      <c r="G21" s="5">
        <v>1E+30</v>
      </c>
      <c r="H21" s="5">
        <v>187498</v>
      </c>
    </row>
    <row r="22" spans="2:8" x14ac:dyDescent="0.2">
      <c r="B22" s="5" t="s">
        <v>118</v>
      </c>
      <c r="C22" s="5" t="s">
        <v>119</v>
      </c>
      <c r="D22" s="5">
        <v>3</v>
      </c>
      <c r="E22" s="5">
        <v>0</v>
      </c>
      <c r="F22" s="5">
        <v>0</v>
      </c>
      <c r="G22" s="5">
        <v>1E+30</v>
      </c>
      <c r="H22" s="5">
        <v>187497</v>
      </c>
    </row>
    <row r="23" spans="2:8" x14ac:dyDescent="0.2">
      <c r="B23" s="5" t="s">
        <v>120</v>
      </c>
      <c r="C23" s="5" t="s">
        <v>121</v>
      </c>
      <c r="D23" s="5">
        <v>4</v>
      </c>
      <c r="E23" s="5">
        <v>0</v>
      </c>
      <c r="F23" s="5">
        <v>0</v>
      </c>
      <c r="G23" s="5">
        <v>1E+30</v>
      </c>
      <c r="H23" s="5">
        <v>187496</v>
      </c>
    </row>
    <row r="24" spans="2:8" x14ac:dyDescent="0.2">
      <c r="B24" s="5" t="s">
        <v>122</v>
      </c>
      <c r="C24" s="5" t="s">
        <v>123</v>
      </c>
      <c r="D24" s="5">
        <v>5</v>
      </c>
      <c r="E24" s="5">
        <v>0</v>
      </c>
      <c r="F24" s="5">
        <v>0</v>
      </c>
      <c r="G24" s="5">
        <v>1E+30</v>
      </c>
      <c r="H24" s="5">
        <v>187495</v>
      </c>
    </row>
    <row r="25" spans="2:8" x14ac:dyDescent="0.2">
      <c r="B25" s="5" t="s">
        <v>124</v>
      </c>
      <c r="C25" s="5" t="s">
        <v>125</v>
      </c>
      <c r="D25" s="5">
        <v>6</v>
      </c>
      <c r="E25" s="5">
        <v>0</v>
      </c>
      <c r="F25" s="5">
        <v>0</v>
      </c>
      <c r="G25" s="5">
        <v>1E+30</v>
      </c>
      <c r="H25" s="5">
        <v>187494</v>
      </c>
    </row>
    <row r="26" spans="2:8" x14ac:dyDescent="0.2">
      <c r="B26" s="5" t="s">
        <v>126</v>
      </c>
      <c r="C26" s="5" t="s">
        <v>127</v>
      </c>
      <c r="D26" s="5">
        <v>375000</v>
      </c>
      <c r="E26" s="5">
        <v>-5.0000000000003375E-3</v>
      </c>
      <c r="F26" s="5">
        <v>0</v>
      </c>
      <c r="G26" s="5">
        <v>375000</v>
      </c>
      <c r="H26" s="5">
        <v>375000</v>
      </c>
    </row>
    <row r="27" spans="2:8" ht="16" thickBot="1" x14ac:dyDescent="0.25">
      <c r="B27" s="6" t="s">
        <v>128</v>
      </c>
      <c r="C27" s="6" t="s">
        <v>129</v>
      </c>
      <c r="D27" s="6">
        <v>10</v>
      </c>
      <c r="E27" s="6">
        <v>0</v>
      </c>
      <c r="F27" s="6">
        <v>0</v>
      </c>
      <c r="G27" s="6">
        <v>1E+30</v>
      </c>
      <c r="H27" s="6">
        <v>262490.00000000041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CA4A4-9636-2749-A94D-2CFA21A440BD}">
  <dimension ref="A1:E27"/>
  <sheetViews>
    <sheetView showGridLines="0" workbookViewId="0">
      <selection sqref="A1:A3"/>
    </sheetView>
  </sheetViews>
  <sheetFormatPr baseColWidth="10" defaultRowHeight="15" x14ac:dyDescent="0.2"/>
  <cols>
    <col min="1" max="1" width="2.33203125" customWidth="1"/>
    <col min="2" max="2" width="6.1640625" bestFit="1" customWidth="1"/>
    <col min="3" max="3" width="43.5" bestFit="1" customWidth="1"/>
    <col min="4" max="5" width="12.1640625" bestFit="1" customWidth="1"/>
  </cols>
  <sheetData>
    <row r="1" spans="1:5" x14ac:dyDescent="0.2">
      <c r="A1" s="4" t="s">
        <v>24</v>
      </c>
    </row>
    <row r="2" spans="1:5" x14ac:dyDescent="0.2">
      <c r="A2" s="4" t="s">
        <v>98</v>
      </c>
    </row>
    <row r="3" spans="1:5" x14ac:dyDescent="0.2">
      <c r="A3" s="4" t="s">
        <v>130</v>
      </c>
    </row>
    <row r="6" spans="1:5" ht="16" thickBot="1" x14ac:dyDescent="0.25">
      <c r="A6" t="s">
        <v>26</v>
      </c>
    </row>
    <row r="7" spans="1:5" x14ac:dyDescent="0.2">
      <c r="B7" s="7"/>
      <c r="C7" s="7"/>
      <c r="D7" s="7" t="s">
        <v>29</v>
      </c>
      <c r="E7" s="7" t="s">
        <v>31</v>
      </c>
    </row>
    <row r="8" spans="1:5" ht="16" thickBot="1" x14ac:dyDescent="0.25">
      <c r="B8" s="8" t="s">
        <v>27</v>
      </c>
      <c r="C8" s="8" t="s">
        <v>28</v>
      </c>
      <c r="D8" s="8" t="s">
        <v>30</v>
      </c>
      <c r="E8" s="8" t="s">
        <v>131</v>
      </c>
    </row>
    <row r="9" spans="1:5" x14ac:dyDescent="0.2">
      <c r="B9" s="5" t="s">
        <v>100</v>
      </c>
      <c r="C9" s="5" t="s">
        <v>101</v>
      </c>
      <c r="D9" s="5">
        <v>7.1677657375944213</v>
      </c>
      <c r="E9" s="5">
        <v>0</v>
      </c>
    </row>
    <row r="10" spans="1:5" x14ac:dyDescent="0.2">
      <c r="B10" s="5" t="s">
        <v>102</v>
      </c>
      <c r="C10" s="5" t="s">
        <v>103</v>
      </c>
      <c r="D10" s="5">
        <v>2.0668132096544221</v>
      </c>
      <c r="E10" s="5">
        <v>0</v>
      </c>
    </row>
    <row r="11" spans="1:5" x14ac:dyDescent="0.2">
      <c r="B11" s="5" t="s">
        <v>104</v>
      </c>
      <c r="C11" s="5" t="s">
        <v>105</v>
      </c>
      <c r="D11" s="5">
        <v>3.1503297177502927</v>
      </c>
      <c r="E11" s="5">
        <v>0</v>
      </c>
    </row>
    <row r="12" spans="1:5" x14ac:dyDescent="0.2">
      <c r="B12" s="5" t="s">
        <v>106</v>
      </c>
      <c r="C12" s="5" t="s">
        <v>107</v>
      </c>
      <c r="D12" s="5">
        <v>4.2672528387399327</v>
      </c>
      <c r="E12" s="5">
        <v>0</v>
      </c>
    </row>
    <row r="13" spans="1:5" x14ac:dyDescent="0.2">
      <c r="B13" s="5" t="s">
        <v>108</v>
      </c>
      <c r="C13" s="5" t="s">
        <v>109</v>
      </c>
      <c r="D13" s="5">
        <v>5.4175825763168541</v>
      </c>
      <c r="E13" s="5">
        <v>0</v>
      </c>
    </row>
    <row r="14" spans="1:5" ht="16" thickBot="1" x14ac:dyDescent="0.25">
      <c r="B14" s="6" t="s">
        <v>110</v>
      </c>
      <c r="C14" s="6" t="s">
        <v>111</v>
      </c>
      <c r="D14" s="6">
        <v>6.6013188703217596</v>
      </c>
      <c r="E14" s="6">
        <v>0</v>
      </c>
    </row>
    <row r="16" spans="1:5" ht="16" thickBot="1" x14ac:dyDescent="0.25">
      <c r="A16" t="s">
        <v>38</v>
      </c>
    </row>
    <row r="17" spans="2:5" x14ac:dyDescent="0.2">
      <c r="B17" s="7"/>
      <c r="C17" s="7"/>
      <c r="D17" s="7" t="s">
        <v>29</v>
      </c>
      <c r="E17" s="7" t="s">
        <v>132</v>
      </c>
    </row>
    <row r="18" spans="2:5" ht="16" thickBot="1" x14ac:dyDescent="0.25">
      <c r="B18" s="8" t="s">
        <v>27</v>
      </c>
      <c r="C18" s="8" t="s">
        <v>28</v>
      </c>
      <c r="D18" s="8" t="s">
        <v>30</v>
      </c>
      <c r="E18" s="8" t="s">
        <v>133</v>
      </c>
    </row>
    <row r="19" spans="2:5" x14ac:dyDescent="0.2">
      <c r="B19" s="5" t="s">
        <v>112</v>
      </c>
      <c r="C19" s="5" t="s">
        <v>113</v>
      </c>
      <c r="D19" s="5">
        <v>28.671062950377681</v>
      </c>
      <c r="E19" s="5">
        <v>0</v>
      </c>
    </row>
    <row r="20" spans="2:5" x14ac:dyDescent="0.2">
      <c r="B20" s="5" t="s">
        <v>114</v>
      </c>
      <c r="C20" s="5" t="s">
        <v>115</v>
      </c>
      <c r="D20" s="5">
        <v>7.1677657375944213</v>
      </c>
      <c r="E20" s="5">
        <v>1.4486667316532942</v>
      </c>
    </row>
    <row r="21" spans="2:5" x14ac:dyDescent="0.2">
      <c r="B21" s="5" t="s">
        <v>116</v>
      </c>
      <c r="C21" s="5" t="s">
        <v>117</v>
      </c>
      <c r="D21" s="5">
        <v>2</v>
      </c>
      <c r="E21" s="5">
        <v>0</v>
      </c>
    </row>
    <row r="22" spans="2:5" x14ac:dyDescent="0.2">
      <c r="B22" s="5" t="s">
        <v>118</v>
      </c>
      <c r="C22" s="5" t="s">
        <v>119</v>
      </c>
      <c r="D22" s="5">
        <v>3</v>
      </c>
      <c r="E22" s="5">
        <v>0</v>
      </c>
    </row>
    <row r="23" spans="2:5" x14ac:dyDescent="0.2">
      <c r="B23" s="5" t="s">
        <v>120</v>
      </c>
      <c r="C23" s="5" t="s">
        <v>121</v>
      </c>
      <c r="D23" s="5">
        <v>4</v>
      </c>
      <c r="E23" s="5">
        <v>0</v>
      </c>
    </row>
    <row r="24" spans="2:5" x14ac:dyDescent="0.2">
      <c r="B24" s="5" t="s">
        <v>122</v>
      </c>
      <c r="C24" s="5" t="s">
        <v>123</v>
      </c>
      <c r="D24" s="5">
        <v>5</v>
      </c>
      <c r="E24" s="5">
        <v>0</v>
      </c>
    </row>
    <row r="25" spans="2:5" x14ac:dyDescent="0.2">
      <c r="B25" s="5" t="s">
        <v>124</v>
      </c>
      <c r="C25" s="5" t="s">
        <v>125</v>
      </c>
      <c r="D25" s="5">
        <v>6</v>
      </c>
      <c r="E25" s="5">
        <v>0</v>
      </c>
    </row>
    <row r="26" spans="2:5" x14ac:dyDescent="0.2">
      <c r="B26" s="5" t="s">
        <v>126</v>
      </c>
      <c r="C26" s="5" t="s">
        <v>127</v>
      </c>
      <c r="D26" s="5">
        <v>20.103150656310536</v>
      </c>
      <c r="E26" s="5">
        <v>0</v>
      </c>
    </row>
    <row r="27" spans="2:5" ht="16" thickBot="1" x14ac:dyDescent="0.25">
      <c r="B27" s="6" t="s">
        <v>128</v>
      </c>
      <c r="C27" s="6" t="s">
        <v>129</v>
      </c>
      <c r="D27" s="6">
        <v>10</v>
      </c>
      <c r="E27" s="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97C6D-0B54-4BD3-B693-7FD7963B0DC7}">
  <dimension ref="A3:T31"/>
  <sheetViews>
    <sheetView topLeftCell="A5" workbookViewId="0">
      <selection activeCell="F24" sqref="F24"/>
    </sheetView>
  </sheetViews>
  <sheetFormatPr baseColWidth="10" defaultColWidth="8.83203125" defaultRowHeight="15" x14ac:dyDescent="0.2"/>
  <cols>
    <col min="1" max="1" width="31.5" customWidth="1"/>
    <col min="2" max="2" width="22.83203125" bestFit="1" customWidth="1"/>
    <col min="3" max="3" width="15.6640625" customWidth="1"/>
    <col min="4" max="4" width="16.1640625" bestFit="1" customWidth="1"/>
    <col min="5" max="5" width="13.6640625" bestFit="1" customWidth="1"/>
    <col min="6" max="7" width="17.6640625" customWidth="1"/>
    <col min="9" max="9" width="14" bestFit="1" customWidth="1"/>
  </cols>
  <sheetData>
    <row r="3" spans="1:20" ht="16" thickBot="1" x14ac:dyDescent="0.25"/>
    <row r="4" spans="1:20" ht="55.5" customHeight="1" thickBot="1" x14ac:dyDescent="0.25">
      <c r="A4" s="21" t="s">
        <v>0</v>
      </c>
      <c r="B4" s="22"/>
      <c r="C4" s="22"/>
      <c r="D4" s="22"/>
      <c r="E4" s="22"/>
      <c r="F4" s="22"/>
      <c r="G4" s="22"/>
      <c r="H4" s="22"/>
      <c r="I4" s="22"/>
      <c r="J4" s="22"/>
      <c r="K4" s="22"/>
      <c r="L4" s="22"/>
      <c r="M4" s="22"/>
      <c r="N4" s="22"/>
      <c r="O4" s="22"/>
      <c r="P4" s="22"/>
      <c r="Q4" s="22"/>
      <c r="R4" s="22"/>
      <c r="S4" s="22"/>
      <c r="T4" s="23"/>
    </row>
    <row r="5" spans="1:20" x14ac:dyDescent="0.2">
      <c r="A5" s="1"/>
      <c r="B5" s="1"/>
      <c r="C5" s="1"/>
      <c r="D5" s="1"/>
      <c r="E5" s="1"/>
      <c r="F5" s="1"/>
      <c r="G5" s="1"/>
      <c r="H5" s="1"/>
      <c r="I5" s="1"/>
      <c r="J5" s="1"/>
      <c r="K5" s="1"/>
      <c r="L5" s="1"/>
      <c r="M5" s="1"/>
      <c r="N5" s="1"/>
      <c r="O5" s="1"/>
      <c r="P5" s="1"/>
      <c r="Q5" s="1"/>
      <c r="R5" s="1"/>
      <c r="S5" s="1"/>
      <c r="T5" s="1"/>
    </row>
    <row r="7" spans="1:20" x14ac:dyDescent="0.2">
      <c r="B7" s="2"/>
      <c r="C7" s="3" t="s">
        <v>1</v>
      </c>
      <c r="D7" s="3" t="s">
        <v>2</v>
      </c>
      <c r="E7" s="3" t="s">
        <v>3</v>
      </c>
      <c r="F7" s="13" t="s">
        <v>84</v>
      </c>
      <c r="G7" s="4" t="s">
        <v>33</v>
      </c>
      <c r="I7" t="s">
        <v>4</v>
      </c>
    </row>
    <row r="8" spans="1:20" x14ac:dyDescent="0.2">
      <c r="B8" s="3" t="s">
        <v>5</v>
      </c>
      <c r="C8" s="2">
        <v>8.65</v>
      </c>
      <c r="D8" s="11">
        <v>11</v>
      </c>
      <c r="E8" s="10">
        <v>1</v>
      </c>
      <c r="F8" s="14">
        <v>10000</v>
      </c>
      <c r="G8" s="20">
        <f>F8*(100+C8)/100+F9*(100+C9)/100+F10*(100+C10)/100+F11*(100+C11)/100+F12*(100+C12)/100+F13*(100+C13)/100</f>
        <v>10886.842500000001</v>
      </c>
      <c r="I8" t="s">
        <v>6</v>
      </c>
    </row>
    <row r="9" spans="1:20" x14ac:dyDescent="0.2">
      <c r="B9" s="3" t="s">
        <v>7</v>
      </c>
      <c r="C9" s="2">
        <v>9.5</v>
      </c>
      <c r="D9" s="11">
        <v>10</v>
      </c>
      <c r="E9" s="11">
        <v>3</v>
      </c>
      <c r="F9" s="14">
        <v>2</v>
      </c>
      <c r="I9" t="s">
        <v>8</v>
      </c>
    </row>
    <row r="10" spans="1:20" x14ac:dyDescent="0.2">
      <c r="B10" s="3" t="s">
        <v>9</v>
      </c>
      <c r="C10" s="2">
        <v>10</v>
      </c>
      <c r="D10" s="2">
        <v>6</v>
      </c>
      <c r="E10" s="11">
        <v>4</v>
      </c>
      <c r="F10" s="14">
        <v>3</v>
      </c>
      <c r="I10" t="s">
        <v>10</v>
      </c>
    </row>
    <row r="11" spans="1:20" x14ac:dyDescent="0.2">
      <c r="B11" s="3" t="s">
        <v>11</v>
      </c>
      <c r="C11" s="2">
        <v>8.75</v>
      </c>
      <c r="D11" s="11">
        <v>10</v>
      </c>
      <c r="E11" s="10">
        <v>1</v>
      </c>
      <c r="F11" s="14">
        <v>4</v>
      </c>
    </row>
    <row r="12" spans="1:20" x14ac:dyDescent="0.2">
      <c r="B12" s="3" t="s">
        <v>12</v>
      </c>
      <c r="C12" s="2">
        <v>9.25</v>
      </c>
      <c r="D12" s="2">
        <v>7</v>
      </c>
      <c r="E12" s="11">
        <v>3</v>
      </c>
      <c r="F12" s="14">
        <v>5</v>
      </c>
    </row>
    <row r="13" spans="1:20" x14ac:dyDescent="0.2">
      <c r="B13" s="3" t="s">
        <v>13</v>
      </c>
      <c r="C13" s="2">
        <v>9</v>
      </c>
      <c r="D13" s="11">
        <v>13</v>
      </c>
      <c r="E13" s="10">
        <v>2</v>
      </c>
      <c r="F13" s="14">
        <v>6</v>
      </c>
    </row>
    <row r="14" spans="1:20" x14ac:dyDescent="0.2">
      <c r="F14">
        <f>750000</f>
        <v>750000</v>
      </c>
    </row>
    <row r="15" spans="1:20" ht="16" thickBot="1" x14ac:dyDescent="0.25">
      <c r="E15" t="s">
        <v>88</v>
      </c>
      <c r="F15">
        <f>SUM(F8:F13)</f>
        <v>10020</v>
      </c>
    </row>
    <row r="16" spans="1:20" ht="16" thickBot="1" x14ac:dyDescent="0.25">
      <c r="A16" s="24" t="s">
        <v>38</v>
      </c>
      <c r="B16" s="25"/>
      <c r="C16" s="25"/>
      <c r="D16" s="25"/>
      <c r="E16" s="26"/>
    </row>
    <row r="17" spans="1:5" ht="39" customHeight="1" x14ac:dyDescent="0.2">
      <c r="A17" s="4" t="s">
        <v>85</v>
      </c>
      <c r="B17" s="4" t="s">
        <v>80</v>
      </c>
      <c r="C17" s="12" t="s">
        <v>81</v>
      </c>
      <c r="D17" s="19" t="s">
        <v>82</v>
      </c>
      <c r="E17" s="19" t="s">
        <v>83</v>
      </c>
    </row>
    <row r="20" spans="1:5" x14ac:dyDescent="0.2">
      <c r="A20" t="s">
        <v>86</v>
      </c>
      <c r="B20">
        <f>10000+C8*F8/100</f>
        <v>10865</v>
      </c>
    </row>
    <row r="22" spans="1:5" x14ac:dyDescent="0.2">
      <c r="A22" t="s">
        <v>38</v>
      </c>
    </row>
    <row r="23" spans="1:5" ht="16" customHeight="1" x14ac:dyDescent="0.2">
      <c r="A23" s="15" t="s">
        <v>87</v>
      </c>
      <c r="B23">
        <f>SUM(F8:F13)</f>
        <v>10020</v>
      </c>
      <c r="C23" t="s">
        <v>22</v>
      </c>
      <c r="D23">
        <f>F14</f>
        <v>750000</v>
      </c>
    </row>
    <row r="24" spans="1:5" x14ac:dyDescent="0.2">
      <c r="A24" s="16" t="s">
        <v>89</v>
      </c>
      <c r="B24">
        <f t="shared" ref="B24:B29" si="0">F8</f>
        <v>10000</v>
      </c>
      <c r="C24" t="s">
        <v>22</v>
      </c>
      <c r="D24">
        <f>0.25*$F$15</f>
        <v>2505</v>
      </c>
    </row>
    <row r="25" spans="1:5" x14ac:dyDescent="0.2">
      <c r="A25" s="17" t="s">
        <v>90</v>
      </c>
      <c r="B25">
        <f t="shared" si="0"/>
        <v>2</v>
      </c>
      <c r="C25" t="s">
        <v>22</v>
      </c>
      <c r="D25">
        <f t="shared" ref="D25:D29" si="1">0.25*$F$15</f>
        <v>2505</v>
      </c>
    </row>
    <row r="26" spans="1:5" x14ac:dyDescent="0.2">
      <c r="A26" s="17" t="s">
        <v>91</v>
      </c>
      <c r="B26">
        <f t="shared" si="0"/>
        <v>3</v>
      </c>
      <c r="C26" t="s">
        <v>22</v>
      </c>
      <c r="D26">
        <f t="shared" si="1"/>
        <v>2505</v>
      </c>
    </row>
    <row r="27" spans="1:5" x14ac:dyDescent="0.2">
      <c r="A27" s="17" t="s">
        <v>92</v>
      </c>
      <c r="B27">
        <f t="shared" si="0"/>
        <v>4</v>
      </c>
      <c r="C27" t="s">
        <v>22</v>
      </c>
      <c r="D27">
        <f t="shared" si="1"/>
        <v>2505</v>
      </c>
    </row>
    <row r="28" spans="1:5" x14ac:dyDescent="0.2">
      <c r="A28" s="17" t="s">
        <v>93</v>
      </c>
      <c r="B28">
        <f t="shared" si="0"/>
        <v>5</v>
      </c>
      <c r="C28" t="s">
        <v>22</v>
      </c>
      <c r="D28">
        <f t="shared" si="1"/>
        <v>2505</v>
      </c>
    </row>
    <row r="29" spans="1:5" x14ac:dyDescent="0.2">
      <c r="A29" s="17" t="s">
        <v>94</v>
      </c>
      <c r="B29">
        <f t="shared" si="0"/>
        <v>6</v>
      </c>
      <c r="C29" t="s">
        <v>22</v>
      </c>
      <c r="D29">
        <f t="shared" si="1"/>
        <v>2505</v>
      </c>
    </row>
    <row r="30" spans="1:5" x14ac:dyDescent="0.2">
      <c r="A30" s="18" t="s">
        <v>96</v>
      </c>
      <c r="B30">
        <f>F8+F9+F11+F13</f>
        <v>10012</v>
      </c>
      <c r="C30" t="s">
        <v>95</v>
      </c>
      <c r="D30">
        <f>F15/2</f>
        <v>5010</v>
      </c>
    </row>
    <row r="31" spans="1:5" x14ac:dyDescent="0.2">
      <c r="A31" s="18" t="s">
        <v>97</v>
      </c>
      <c r="B31">
        <f>(E9+E10+E12)</f>
        <v>10</v>
      </c>
      <c r="C31" t="s">
        <v>22</v>
      </c>
      <c r="D31">
        <f>0.35*F15</f>
        <v>3507</v>
      </c>
    </row>
  </sheetData>
  <mergeCells count="2">
    <mergeCell ref="A4:T4"/>
    <mergeCell ref="A16:E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91C5-A0E3-A649-A24F-1823503C6A28}">
  <dimension ref="A1:H9"/>
  <sheetViews>
    <sheetView tabSelected="1" workbookViewId="0">
      <selection activeCell="B2" sqref="B2"/>
    </sheetView>
  </sheetViews>
  <sheetFormatPr baseColWidth="10" defaultRowHeight="15" x14ac:dyDescent="0.2"/>
  <cols>
    <col min="2" max="2" width="16.6640625" customWidth="1"/>
  </cols>
  <sheetData>
    <row r="1" spans="1:8" x14ac:dyDescent="0.2">
      <c r="B1" t="s">
        <v>134</v>
      </c>
      <c r="C1" t="s">
        <v>16</v>
      </c>
      <c r="D1" t="s">
        <v>17</v>
      </c>
      <c r="E1" t="s">
        <v>18</v>
      </c>
      <c r="F1" t="s">
        <v>19</v>
      </c>
      <c r="H1" t="s">
        <v>20</v>
      </c>
    </row>
    <row r="2" spans="1:8" x14ac:dyDescent="0.2">
      <c r="A2" t="s">
        <v>14</v>
      </c>
      <c r="B2">
        <v>11.95</v>
      </c>
      <c r="C2">
        <v>10</v>
      </c>
      <c r="D2">
        <v>4</v>
      </c>
      <c r="E2">
        <v>15</v>
      </c>
      <c r="F2">
        <v>115</v>
      </c>
      <c r="H2">
        <f>SUM(B2*F2+B3*F3)</f>
        <v>1741</v>
      </c>
    </row>
    <row r="3" spans="1:8" x14ac:dyDescent="0.2">
      <c r="A3" t="s">
        <v>15</v>
      </c>
      <c r="B3">
        <v>4.0750000000000002</v>
      </c>
      <c r="C3">
        <v>20</v>
      </c>
      <c r="D3">
        <v>16</v>
      </c>
      <c r="E3">
        <v>10</v>
      </c>
      <c r="F3">
        <v>90</v>
      </c>
    </row>
    <row r="4" spans="1:8" ht="14" customHeight="1" x14ac:dyDescent="0.2"/>
    <row r="5" spans="1:8" x14ac:dyDescent="0.2">
      <c r="B5" t="s">
        <v>23</v>
      </c>
      <c r="C5">
        <v>201</v>
      </c>
      <c r="D5">
        <v>128</v>
      </c>
      <c r="E5">
        <v>220</v>
      </c>
    </row>
    <row r="7" spans="1:8" x14ac:dyDescent="0.2">
      <c r="A7" t="s">
        <v>21</v>
      </c>
      <c r="B7">
        <f>SUMPRODUCT(B2:B3,C2:C3)</f>
        <v>201</v>
      </c>
      <c r="C7" t="s">
        <v>22</v>
      </c>
      <c r="D7">
        <v>201</v>
      </c>
    </row>
    <row r="8" spans="1:8" x14ac:dyDescent="0.2">
      <c r="A8" t="s">
        <v>17</v>
      </c>
      <c r="B8">
        <f>SUMPRODUCT(B2:B3,D2:D3)</f>
        <v>113</v>
      </c>
      <c r="C8" t="s">
        <v>22</v>
      </c>
      <c r="D8">
        <v>128</v>
      </c>
      <c r="E8" t="s">
        <v>79</v>
      </c>
    </row>
    <row r="9" spans="1:8" x14ac:dyDescent="0.2">
      <c r="A9" t="s">
        <v>18</v>
      </c>
      <c r="B9">
        <f>SUMPRODUCT(B2:B3,E2:E3)</f>
        <v>220</v>
      </c>
      <c r="C9" t="s">
        <v>22</v>
      </c>
      <c r="D9">
        <v>220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CBBAC-E081-B249-9E38-055D5B5A6242}">
  <dimension ref="A1:H17"/>
  <sheetViews>
    <sheetView showGridLines="0" workbookViewId="0">
      <selection sqref="A1:A3"/>
    </sheetView>
  </sheetViews>
  <sheetFormatPr baseColWidth="10" defaultRowHeight="15" x14ac:dyDescent="0.2"/>
  <cols>
    <col min="1" max="1" width="2.33203125" customWidth="1"/>
    <col min="2" max="2" width="5.1640625" bestFit="1" customWidth="1"/>
    <col min="3" max="3" width="23.33203125" bestFit="1" customWidth="1"/>
    <col min="4" max="4" width="6.1640625" bestFit="1" customWidth="1"/>
    <col min="5" max="5" width="8" bestFit="1" customWidth="1"/>
    <col min="6" max="6" width="9.6640625" bestFit="1" customWidth="1"/>
    <col min="7" max="7" width="13" customWidth="1"/>
    <col min="8" max="8" width="18.83203125" customWidth="1"/>
  </cols>
  <sheetData>
    <row r="1" spans="1:8" x14ac:dyDescent="0.2">
      <c r="A1" s="4" t="s">
        <v>24</v>
      </c>
    </row>
    <row r="2" spans="1:8" x14ac:dyDescent="0.2">
      <c r="A2" s="4" t="s">
        <v>25</v>
      </c>
    </row>
    <row r="3" spans="1:8" x14ac:dyDescent="0.2">
      <c r="A3" s="4" t="s">
        <v>52</v>
      </c>
    </row>
    <row r="6" spans="1:8" ht="16" thickBot="1" x14ac:dyDescent="0.25">
      <c r="A6" t="s">
        <v>26</v>
      </c>
    </row>
    <row r="7" spans="1:8" x14ac:dyDescent="0.2">
      <c r="B7" s="7"/>
      <c r="C7" s="7"/>
      <c r="D7" s="7" t="s">
        <v>29</v>
      </c>
      <c r="E7" s="7" t="s">
        <v>31</v>
      </c>
      <c r="F7" s="7" t="s">
        <v>33</v>
      </c>
      <c r="G7" s="7" t="s">
        <v>35</v>
      </c>
      <c r="H7" s="7" t="s">
        <v>35</v>
      </c>
    </row>
    <row r="8" spans="1:8" ht="16" thickBot="1" x14ac:dyDescent="0.25">
      <c r="B8" s="8" t="s">
        <v>27</v>
      </c>
      <c r="C8" s="8" t="s">
        <v>28</v>
      </c>
      <c r="D8" s="8" t="s">
        <v>30</v>
      </c>
      <c r="E8" s="8" t="s">
        <v>32</v>
      </c>
      <c r="F8" s="8" t="s">
        <v>34</v>
      </c>
      <c r="G8" s="8" t="s">
        <v>36</v>
      </c>
      <c r="H8" s="8" t="s">
        <v>37</v>
      </c>
    </row>
    <row r="9" spans="1:8" x14ac:dyDescent="0.2">
      <c r="B9" s="5" t="s">
        <v>42</v>
      </c>
      <c r="C9" s="5" t="s">
        <v>43</v>
      </c>
      <c r="D9" s="5">
        <v>11.95</v>
      </c>
      <c r="E9" s="5">
        <v>0</v>
      </c>
      <c r="F9" s="5">
        <v>115</v>
      </c>
      <c r="G9" s="5">
        <v>20.000000000000007</v>
      </c>
      <c r="H9" s="5">
        <v>70</v>
      </c>
    </row>
    <row r="10" spans="1:8" ht="16" thickBot="1" x14ac:dyDescent="0.25">
      <c r="B10" s="6" t="s">
        <v>44</v>
      </c>
      <c r="C10" s="6" t="s">
        <v>45</v>
      </c>
      <c r="D10" s="6">
        <v>4.0750000000000002</v>
      </c>
      <c r="E10" s="6">
        <v>0</v>
      </c>
      <c r="F10" s="6">
        <v>90</v>
      </c>
      <c r="G10" s="6">
        <v>140</v>
      </c>
      <c r="H10" s="6">
        <v>13.333333333333337</v>
      </c>
    </row>
    <row r="12" spans="1:8" ht="16" thickBot="1" x14ac:dyDescent="0.25">
      <c r="A12" t="s">
        <v>38</v>
      </c>
    </row>
    <row r="13" spans="1:8" x14ac:dyDescent="0.2">
      <c r="B13" s="7"/>
      <c r="C13" s="7"/>
      <c r="D13" s="7" t="s">
        <v>29</v>
      </c>
      <c r="E13" s="7" t="s">
        <v>39</v>
      </c>
      <c r="F13" s="7" t="s">
        <v>23</v>
      </c>
      <c r="G13" s="7" t="s">
        <v>35</v>
      </c>
      <c r="H13" s="7" t="s">
        <v>35</v>
      </c>
    </row>
    <row r="14" spans="1:8" ht="16" thickBot="1" x14ac:dyDescent="0.25">
      <c r="B14" s="8" t="s">
        <v>27</v>
      </c>
      <c r="C14" s="8" t="s">
        <v>28</v>
      </c>
      <c r="D14" s="8" t="s">
        <v>30</v>
      </c>
      <c r="E14" s="8" t="s">
        <v>40</v>
      </c>
      <c r="F14" s="8" t="s">
        <v>41</v>
      </c>
      <c r="G14" s="8" t="s">
        <v>36</v>
      </c>
      <c r="H14" s="8" t="s">
        <v>37</v>
      </c>
    </row>
    <row r="15" spans="1:8" x14ac:dyDescent="0.2">
      <c r="B15" s="5" t="s">
        <v>46</v>
      </c>
      <c r="C15" s="5" t="s">
        <v>47</v>
      </c>
      <c r="D15" s="5">
        <v>201</v>
      </c>
      <c r="E15" s="5">
        <v>1.0000000000000002</v>
      </c>
      <c r="F15" s="5">
        <v>201</v>
      </c>
      <c r="G15" s="5">
        <v>15.000000000000005</v>
      </c>
      <c r="H15" s="5">
        <v>54.333333333333336</v>
      </c>
    </row>
    <row r="16" spans="1:8" x14ac:dyDescent="0.2">
      <c r="B16" s="5" t="s">
        <v>48</v>
      </c>
      <c r="C16" s="5" t="s">
        <v>49</v>
      </c>
      <c r="D16" s="5">
        <v>113</v>
      </c>
      <c r="E16" s="5">
        <v>0</v>
      </c>
      <c r="F16" s="5">
        <v>128</v>
      </c>
      <c r="G16" s="5">
        <v>1E+30</v>
      </c>
      <c r="H16" s="5">
        <v>15.000000000000005</v>
      </c>
    </row>
    <row r="17" spans="2:8" ht="16" thickBot="1" x14ac:dyDescent="0.25">
      <c r="B17" s="6" t="s">
        <v>50</v>
      </c>
      <c r="C17" s="6" t="s">
        <v>51</v>
      </c>
      <c r="D17" s="6">
        <v>220</v>
      </c>
      <c r="E17" s="6">
        <v>7</v>
      </c>
      <c r="F17" s="6">
        <v>220</v>
      </c>
      <c r="G17" s="6">
        <v>81.500000000000014</v>
      </c>
      <c r="H17" s="6">
        <v>37.500000000000014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D31D-1977-0444-8EAB-97BBCE388DF0}">
  <dimension ref="A1:G29"/>
  <sheetViews>
    <sheetView showGridLines="0" workbookViewId="0"/>
  </sheetViews>
  <sheetFormatPr baseColWidth="10" defaultRowHeight="15" x14ac:dyDescent="0.2"/>
  <cols>
    <col min="1" max="1" width="2.33203125" customWidth="1"/>
    <col min="2" max="2" width="5.1640625" bestFit="1" customWidth="1"/>
    <col min="3" max="3" width="23.33203125" bestFit="1" customWidth="1"/>
    <col min="4" max="4" width="12" bestFit="1" customWidth="1"/>
    <col min="5" max="5" width="11" bestFit="1" customWidth="1"/>
    <col min="6" max="6" width="10.1640625" bestFit="1" customWidth="1"/>
    <col min="7" max="7" width="5" bestFit="1" customWidth="1"/>
  </cols>
  <sheetData>
    <row r="1" spans="1:5" x14ac:dyDescent="0.2">
      <c r="A1" s="4" t="s">
        <v>53</v>
      </c>
    </row>
    <row r="2" spans="1:5" x14ac:dyDescent="0.2">
      <c r="A2" s="4" t="s">
        <v>25</v>
      </c>
    </row>
    <row r="3" spans="1:5" x14ac:dyDescent="0.2">
      <c r="A3" s="4" t="s">
        <v>54</v>
      </c>
    </row>
    <row r="4" spans="1:5" x14ac:dyDescent="0.2">
      <c r="A4" s="4" t="s">
        <v>55</v>
      </c>
    </row>
    <row r="5" spans="1:5" x14ac:dyDescent="0.2">
      <c r="A5" s="4" t="s">
        <v>56</v>
      </c>
    </row>
    <row r="6" spans="1:5" x14ac:dyDescent="0.2">
      <c r="A6" s="4"/>
      <c r="B6" t="s">
        <v>57</v>
      </c>
    </row>
    <row r="7" spans="1:5" x14ac:dyDescent="0.2">
      <c r="A7" s="4"/>
      <c r="B7" t="s">
        <v>58</v>
      </c>
    </row>
    <row r="8" spans="1:5" x14ac:dyDescent="0.2">
      <c r="A8" s="4"/>
      <c r="B8" t="s">
        <v>59</v>
      </c>
    </row>
    <row r="9" spans="1:5" x14ac:dyDescent="0.2">
      <c r="A9" s="4" t="s">
        <v>60</v>
      </c>
    </row>
    <row r="10" spans="1:5" x14ac:dyDescent="0.2">
      <c r="B10" t="s">
        <v>61</v>
      </c>
    </row>
    <row r="11" spans="1:5" x14ac:dyDescent="0.2">
      <c r="B11" t="s">
        <v>62</v>
      </c>
    </row>
    <row r="14" spans="1:5" ht="16" thickBot="1" x14ac:dyDescent="0.25">
      <c r="A14" t="s">
        <v>63</v>
      </c>
    </row>
    <row r="15" spans="1:5" ht="16" thickBot="1" x14ac:dyDescent="0.25">
      <c r="B15" s="9" t="s">
        <v>27</v>
      </c>
      <c r="C15" s="9" t="s">
        <v>28</v>
      </c>
      <c r="D15" s="9" t="s">
        <v>64</v>
      </c>
      <c r="E15" s="9" t="s">
        <v>65</v>
      </c>
    </row>
    <row r="16" spans="1:5" ht="16" thickBot="1" x14ac:dyDescent="0.25">
      <c r="B16" s="6" t="s">
        <v>71</v>
      </c>
      <c r="C16" s="6" t="s">
        <v>72</v>
      </c>
      <c r="D16" s="6">
        <v>1741</v>
      </c>
      <c r="E16" s="6">
        <v>1741</v>
      </c>
    </row>
    <row r="19" spans="1:7" ht="16" thickBot="1" x14ac:dyDescent="0.25">
      <c r="A19" t="s">
        <v>26</v>
      </c>
    </row>
    <row r="20" spans="1:7" ht="16" thickBot="1" x14ac:dyDescent="0.25">
      <c r="B20" s="9" t="s">
        <v>27</v>
      </c>
      <c r="C20" s="9" t="s">
        <v>28</v>
      </c>
      <c r="D20" s="9" t="s">
        <v>64</v>
      </c>
      <c r="E20" s="9" t="s">
        <v>65</v>
      </c>
      <c r="F20" s="9" t="s">
        <v>66</v>
      </c>
    </row>
    <row r="21" spans="1:7" x14ac:dyDescent="0.2">
      <c r="B21" s="5" t="s">
        <v>42</v>
      </c>
      <c r="C21" s="5" t="s">
        <v>43</v>
      </c>
      <c r="D21" s="5">
        <v>11.95</v>
      </c>
      <c r="E21" s="5">
        <v>11.95</v>
      </c>
      <c r="F21" s="5" t="s">
        <v>73</v>
      </c>
    </row>
    <row r="22" spans="1:7" ht="16" thickBot="1" x14ac:dyDescent="0.25">
      <c r="B22" s="6" t="s">
        <v>44</v>
      </c>
      <c r="C22" s="6" t="s">
        <v>45</v>
      </c>
      <c r="D22" s="6">
        <v>4.0750000000000002</v>
      </c>
      <c r="E22" s="6">
        <v>4.0750000000000002</v>
      </c>
      <c r="F22" s="6" t="s">
        <v>73</v>
      </c>
    </row>
    <row r="25" spans="1:7" ht="16" thickBot="1" x14ac:dyDescent="0.25">
      <c r="A25" t="s">
        <v>38</v>
      </c>
    </row>
    <row r="26" spans="1:7" ht="16" thickBot="1" x14ac:dyDescent="0.25">
      <c r="B26" s="9" t="s">
        <v>27</v>
      </c>
      <c r="C26" s="9" t="s">
        <v>28</v>
      </c>
      <c r="D26" s="9" t="s">
        <v>67</v>
      </c>
      <c r="E26" s="9" t="s">
        <v>68</v>
      </c>
      <c r="F26" s="9" t="s">
        <v>69</v>
      </c>
      <c r="G26" s="9" t="s">
        <v>70</v>
      </c>
    </row>
    <row r="27" spans="1:7" x14ac:dyDescent="0.2">
      <c r="B27" s="5" t="s">
        <v>46</v>
      </c>
      <c r="C27" s="5" t="s">
        <v>47</v>
      </c>
      <c r="D27" s="5">
        <v>201</v>
      </c>
      <c r="E27" s="5" t="s">
        <v>74</v>
      </c>
      <c r="F27" s="5" t="s">
        <v>75</v>
      </c>
      <c r="G27" s="5">
        <v>0</v>
      </c>
    </row>
    <row r="28" spans="1:7" x14ac:dyDescent="0.2">
      <c r="B28" s="5" t="s">
        <v>48</v>
      </c>
      <c r="C28" s="5" t="s">
        <v>49</v>
      </c>
      <c r="D28" s="5">
        <v>113</v>
      </c>
      <c r="E28" s="5" t="s">
        <v>76</v>
      </c>
      <c r="F28" s="5" t="s">
        <v>77</v>
      </c>
      <c r="G28" s="5">
        <v>15</v>
      </c>
    </row>
    <row r="29" spans="1:7" ht="16" thickBot="1" x14ac:dyDescent="0.25">
      <c r="B29" s="6" t="s">
        <v>50</v>
      </c>
      <c r="C29" s="6" t="s">
        <v>51</v>
      </c>
      <c r="D29" s="6">
        <v>220</v>
      </c>
      <c r="E29" s="6" t="s">
        <v>78</v>
      </c>
      <c r="F29" s="6" t="s">
        <v>75</v>
      </c>
      <c r="G29" s="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Sensitivity Report 2</vt:lpstr>
      <vt:lpstr>Sensitivity Report 3</vt:lpstr>
      <vt:lpstr>Bond Investment</vt:lpstr>
      <vt:lpstr>Analysis</vt:lpstr>
      <vt:lpstr>Sensitivity Report 1</vt:lpstr>
      <vt:lpstr>Answer Report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Vemprala, Naga</dc:creator>
  <cp:lastModifiedBy>Marissa Cheplick</cp:lastModifiedBy>
  <dcterms:created xsi:type="dcterms:W3CDTF">2025-01-22T02:28:34Z</dcterms:created>
  <dcterms:modified xsi:type="dcterms:W3CDTF">2026-02-03T18:19:17Z</dcterms:modified>
</cp:coreProperties>
</file>