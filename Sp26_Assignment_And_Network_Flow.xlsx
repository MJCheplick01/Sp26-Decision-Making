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166925"/>
  <mc:AlternateContent xmlns:mc="http://schemas.openxmlformats.org/markup-compatibility/2006">
    <mc:Choice Requires="x15">
      <x15ac:absPath xmlns:x15ac="http://schemas.microsoft.com/office/spreadsheetml/2010/11/ac" url="/Users/owner/Documents/UP Courses/D_Mod/"/>
    </mc:Choice>
  </mc:AlternateContent>
  <xr:revisionPtr revIDLastSave="0" documentId="13_ncr:1_{B46A8A6B-F929-1B41-9C44-B1734F8F48C3}" xr6:coauthVersionLast="47" xr6:coauthVersionMax="47" xr10:uidLastSave="{00000000-0000-0000-0000-000000000000}"/>
  <bookViews>
    <workbookView xWindow="4820" yWindow="1240" windowWidth="25340" windowHeight="16280" activeTab="3" xr2:uid="{59679623-26DC-4951-8BCB-EC98237FD459}"/>
  </bookViews>
  <sheets>
    <sheet name="Kreeger Grocery Store" sheetId="2" r:id="rId1"/>
    <sheet name="Set Covering problem" sheetId="3" r:id="rId2"/>
    <sheet name="Shortest Path Problem (2)" sheetId="6" r:id="rId3"/>
    <sheet name="Optimal Assignment Problem" sheetId="4" r:id="rId4"/>
  </sheets>
  <definedNames>
    <definedName name="solver_adj" localSheetId="0" hidden="1">'Kreeger Grocery Store'!$E$30:$N$30</definedName>
    <definedName name="solver_adj" localSheetId="3" hidden="1">'Optimal Assignment Problem'!$C$16:$G$21</definedName>
    <definedName name="solver_adj" localSheetId="1" hidden="1">'Set Covering problem'!$C$21:$C$36</definedName>
    <definedName name="solver_adj" localSheetId="2" hidden="1">'Shortest Path Problem (2)'!$H$4:$S$4</definedName>
    <definedName name="solver_cvg" localSheetId="0" hidden="1">0.0001</definedName>
    <definedName name="solver_cvg" localSheetId="3" hidden="1">0.0001</definedName>
    <definedName name="solver_cvg" localSheetId="1" hidden="1">0.0001</definedName>
    <definedName name="solver_cvg" localSheetId="2" hidden="1">0.0001</definedName>
    <definedName name="solver_drv" localSheetId="0" hidden="1">1</definedName>
    <definedName name="solver_drv" localSheetId="3" hidden="1">1</definedName>
    <definedName name="solver_drv" localSheetId="1" hidden="1">1</definedName>
    <definedName name="solver_drv" localSheetId="2" hidden="1">1</definedName>
    <definedName name="solver_eng" localSheetId="0" hidden="1">2</definedName>
    <definedName name="solver_eng" localSheetId="3" hidden="1">2</definedName>
    <definedName name="solver_eng" localSheetId="1" hidden="1">2</definedName>
    <definedName name="solver_eng" localSheetId="2" hidden="1">2</definedName>
    <definedName name="solver_itr" localSheetId="0" hidden="1">2147483647</definedName>
    <definedName name="solver_itr" localSheetId="3" hidden="1">2147483647</definedName>
    <definedName name="solver_itr" localSheetId="1" hidden="1">2147483647</definedName>
    <definedName name="solver_itr" localSheetId="2" hidden="1">2147483647</definedName>
    <definedName name="solver_lhs1" localSheetId="0" hidden="1">'Kreeger Grocery Store'!$E$30:$N$30</definedName>
    <definedName name="solver_lhs1" localSheetId="3" hidden="1">'Optimal Assignment Problem'!$C$16:$G$21</definedName>
    <definedName name="solver_lhs1" localSheetId="1" hidden="1">'Set Covering problem'!$C$21:$C$36</definedName>
    <definedName name="solver_lhs1" localSheetId="2" hidden="1">'Shortest Path Problem (2)'!$H$10:$H$16</definedName>
    <definedName name="solver_lhs2" localSheetId="0" hidden="1">'Kreeger Grocery Store'!$O$37:$O$43</definedName>
    <definedName name="solver_lhs2" localSheetId="3" hidden="1">'Optimal Assignment Problem'!$C$24:$G$24</definedName>
    <definedName name="solver_lhs2" localSheetId="1" hidden="1">'Set Covering problem'!$E$21:$E$36</definedName>
    <definedName name="solver_lhs2" localSheetId="2" hidden="1">'Shortest Path Problem (2)'!$H$4:$S$4</definedName>
    <definedName name="solver_lhs3" localSheetId="3" hidden="1">'Optimal Assignment Problem'!$I$9:$I$14</definedName>
    <definedName name="solver_lin" localSheetId="0" hidden="1">1</definedName>
    <definedName name="solver_lin" localSheetId="3" hidden="1">1</definedName>
    <definedName name="solver_lin" localSheetId="1" hidden="1">1</definedName>
    <definedName name="solver_lin" localSheetId="2" hidden="1">1</definedName>
    <definedName name="solver_mip" localSheetId="0" hidden="1">2147483647</definedName>
    <definedName name="solver_mip" localSheetId="3" hidden="1">2147483647</definedName>
    <definedName name="solver_mip" localSheetId="1" hidden="1">2147483647</definedName>
    <definedName name="solver_mip" localSheetId="2" hidden="1">2147483647</definedName>
    <definedName name="solver_mni" localSheetId="0" hidden="1">30</definedName>
    <definedName name="solver_mni" localSheetId="3" hidden="1">30</definedName>
    <definedName name="solver_mni" localSheetId="1" hidden="1">30</definedName>
    <definedName name="solver_mni" localSheetId="2" hidden="1">30</definedName>
    <definedName name="solver_mrt" localSheetId="0" hidden="1">0.075</definedName>
    <definedName name="solver_mrt" localSheetId="3" hidden="1">0.075</definedName>
    <definedName name="solver_mrt" localSheetId="1" hidden="1">0.075</definedName>
    <definedName name="solver_mrt" localSheetId="2" hidden="1">0.075</definedName>
    <definedName name="solver_msl" localSheetId="0" hidden="1">2</definedName>
    <definedName name="solver_msl" localSheetId="3" hidden="1">2</definedName>
    <definedName name="solver_msl" localSheetId="1" hidden="1">2</definedName>
    <definedName name="solver_msl" localSheetId="2" hidden="1">2</definedName>
    <definedName name="solver_neg" localSheetId="0" hidden="1">1</definedName>
    <definedName name="solver_neg" localSheetId="3" hidden="1">1</definedName>
    <definedName name="solver_neg" localSheetId="1" hidden="1">1</definedName>
    <definedName name="solver_neg" localSheetId="2" hidden="1">1</definedName>
    <definedName name="solver_nod" localSheetId="0" hidden="1">2147483647</definedName>
    <definedName name="solver_nod" localSheetId="3" hidden="1">2147483647</definedName>
    <definedName name="solver_nod" localSheetId="1" hidden="1">2147483647</definedName>
    <definedName name="solver_nod" localSheetId="2" hidden="1">2147483647</definedName>
    <definedName name="solver_num" localSheetId="0" hidden="1">2</definedName>
    <definedName name="solver_num" localSheetId="3" hidden="1">3</definedName>
    <definedName name="solver_num" localSheetId="1" hidden="1">2</definedName>
    <definedName name="solver_num" localSheetId="2" hidden="1">2</definedName>
    <definedName name="solver_opt" localSheetId="0" hidden="1">'Kreeger Grocery Store'!$E$32</definedName>
    <definedName name="solver_opt" localSheetId="3" hidden="1">'Optimal Assignment Problem'!$H$16</definedName>
    <definedName name="solver_opt" localSheetId="1" hidden="1">'Set Covering problem'!$C$19</definedName>
    <definedName name="solver_opt" localSheetId="2" hidden="1">'Shortest Path Problem (2)'!$H$7</definedName>
    <definedName name="solver_pre" localSheetId="0" hidden="1">0.000001</definedName>
    <definedName name="solver_pre" localSheetId="3" hidden="1">0.000001</definedName>
    <definedName name="solver_pre" localSheetId="1" hidden="1">0.000001</definedName>
    <definedName name="solver_pre" localSheetId="2" hidden="1">0.000001</definedName>
    <definedName name="solver_rbv" localSheetId="0" hidden="1">1</definedName>
    <definedName name="solver_rbv" localSheetId="3" hidden="1">1</definedName>
    <definedName name="solver_rbv" localSheetId="1" hidden="1">1</definedName>
    <definedName name="solver_rbv" localSheetId="2" hidden="1">1</definedName>
    <definedName name="solver_rel1" localSheetId="0" hidden="1">5</definedName>
    <definedName name="solver_rel1" localSheetId="3" hidden="1">5</definedName>
    <definedName name="solver_rel1" localSheetId="1" hidden="1">5</definedName>
    <definedName name="solver_rel1" localSheetId="2" hidden="1">2</definedName>
    <definedName name="solver_rel2" localSheetId="0" hidden="1">2</definedName>
    <definedName name="solver_rel2" localSheetId="3" hidden="1">2</definedName>
    <definedName name="solver_rel2" localSheetId="1" hidden="1">3</definedName>
    <definedName name="solver_rel2" localSheetId="2" hidden="1">5</definedName>
    <definedName name="solver_rel3" localSheetId="3" hidden="1">1</definedName>
    <definedName name="solver_rhs1" localSheetId="0" hidden="1">"binary"</definedName>
    <definedName name="solver_rhs1" localSheetId="3" hidden="1">"binary"</definedName>
    <definedName name="solver_rhs1" localSheetId="1" hidden="1">"binary"</definedName>
    <definedName name="solver_rhs1" localSheetId="2" hidden="1">'Shortest Path Problem (2)'!$J$10:$J$16</definedName>
    <definedName name="solver_rhs2" localSheetId="0" hidden="1">'Kreeger Grocery Store'!$Q$37:$Q$43</definedName>
    <definedName name="solver_rhs2" localSheetId="3" hidden="1">'Optimal Assignment Problem'!$C$26:$G$26</definedName>
    <definedName name="solver_rhs2" localSheetId="1" hidden="1">'Set Covering problem'!$G$21:$G$36</definedName>
    <definedName name="solver_rhs2" localSheetId="2" hidden="1">"binary"</definedName>
    <definedName name="solver_rhs3" localSheetId="3" hidden="1">'Optimal Assignment Problem'!$K$9:$K$14</definedName>
    <definedName name="solver_rlx" localSheetId="0" hidden="1">2</definedName>
    <definedName name="solver_rlx" localSheetId="3" hidden="1">2</definedName>
    <definedName name="solver_rlx" localSheetId="1" hidden="1">2</definedName>
    <definedName name="solver_rlx" localSheetId="2" hidden="1">2</definedName>
    <definedName name="solver_rsd" localSheetId="0" hidden="1">0</definedName>
    <definedName name="solver_rsd" localSheetId="3" hidden="1">0</definedName>
    <definedName name="solver_rsd" localSheetId="1" hidden="1">0</definedName>
    <definedName name="solver_rsd" localSheetId="2" hidden="1">0</definedName>
    <definedName name="solver_scl" localSheetId="0" hidden="1">2</definedName>
    <definedName name="solver_scl" localSheetId="3" hidden="1">1</definedName>
    <definedName name="solver_scl" localSheetId="1" hidden="1">1</definedName>
    <definedName name="solver_scl" localSheetId="2" hidden="1">1</definedName>
    <definedName name="solver_sho" localSheetId="0" hidden="1">2</definedName>
    <definedName name="solver_sho" localSheetId="3" hidden="1">2</definedName>
    <definedName name="solver_sho" localSheetId="1" hidden="1">2</definedName>
    <definedName name="solver_sho" localSheetId="2" hidden="1">2</definedName>
    <definedName name="solver_ssz" localSheetId="0" hidden="1">100</definedName>
    <definedName name="solver_ssz" localSheetId="3" hidden="1">100</definedName>
    <definedName name="solver_ssz" localSheetId="1" hidden="1">100</definedName>
    <definedName name="solver_ssz" localSheetId="2" hidden="1">100</definedName>
    <definedName name="solver_tim" localSheetId="0" hidden="1">2147483647</definedName>
    <definedName name="solver_tim" localSheetId="3" hidden="1">2147483647</definedName>
    <definedName name="solver_tim" localSheetId="1" hidden="1">2147483647</definedName>
    <definedName name="solver_tim" localSheetId="2" hidden="1">2147483647</definedName>
    <definedName name="solver_tol" localSheetId="0" hidden="1">0.01</definedName>
    <definedName name="solver_tol" localSheetId="3" hidden="1">0.01</definedName>
    <definedName name="solver_tol" localSheetId="1" hidden="1">0.01</definedName>
    <definedName name="solver_tol" localSheetId="2" hidden="1">0.01</definedName>
    <definedName name="solver_typ" localSheetId="0" hidden="1">1</definedName>
    <definedName name="solver_typ" localSheetId="3" hidden="1">2</definedName>
    <definedName name="solver_typ" localSheetId="1" hidden="1">2</definedName>
    <definedName name="solver_typ" localSheetId="2" hidden="1">2</definedName>
    <definedName name="solver_val" localSheetId="0" hidden="1">0</definedName>
    <definedName name="solver_val" localSheetId="3" hidden="1">0</definedName>
    <definedName name="solver_val" localSheetId="1" hidden="1">0</definedName>
    <definedName name="solver_val" localSheetId="2" hidden="1">0</definedName>
    <definedName name="solver_ver" localSheetId="0" hidden="1">2</definedName>
    <definedName name="solver_ver" localSheetId="3" hidden="1">2</definedName>
    <definedName name="solver_ver" localSheetId="1" hidden="1">2</definedName>
    <definedName name="solver_ver" localSheetId="2"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4" i="6" l="1"/>
  <c r="C7" i="6"/>
  <c r="H7" i="6"/>
  <c r="H10" i="6"/>
  <c r="H11" i="6"/>
  <c r="J11" i="6"/>
  <c r="H12" i="6"/>
  <c r="J12" i="6"/>
  <c r="H13" i="6"/>
  <c r="J13" i="6"/>
  <c r="C14" i="6"/>
  <c r="H14" i="6"/>
  <c r="J14" i="6"/>
  <c r="H15" i="6"/>
  <c r="J15" i="6"/>
  <c r="H16" i="6"/>
  <c r="C21" i="6"/>
  <c r="C25" i="6"/>
  <c r="C30" i="6"/>
  <c r="E29" i="3" l="1"/>
  <c r="E32" i="3"/>
  <c r="E35" i="3"/>
  <c r="C19" i="3"/>
  <c r="E36" i="3"/>
  <c r="E34" i="3"/>
  <c r="E33" i="3"/>
  <c r="E31" i="3"/>
  <c r="E30" i="3"/>
  <c r="E28" i="3"/>
  <c r="E27" i="3"/>
  <c r="E26" i="3"/>
  <c r="E25" i="3"/>
  <c r="E24" i="3"/>
  <c r="E23" i="3"/>
  <c r="E22" i="3"/>
  <c r="E21" i="3"/>
  <c r="O38" i="2"/>
  <c r="O39" i="2"/>
  <c r="O40" i="2"/>
  <c r="O41" i="2"/>
  <c r="O42" i="2"/>
  <c r="O43" i="2"/>
  <c r="E32" i="2"/>
  <c r="O37" i="2"/>
  <c r="E35" i="2"/>
  <c r="D24" i="4"/>
  <c r="E24" i="4"/>
  <c r="F24" i="4"/>
  <c r="G24" i="4"/>
  <c r="C24" i="4"/>
  <c r="I10" i="4"/>
  <c r="I11" i="4"/>
  <c r="I12" i="4"/>
  <c r="I13" i="4"/>
  <c r="I14" i="4"/>
  <c r="I9" i="4"/>
  <c r="H16" i="4"/>
</calcChain>
</file>

<file path=xl/sharedStrings.xml><?xml version="1.0" encoding="utf-8"?>
<sst xmlns="http://schemas.openxmlformats.org/spreadsheetml/2006/main" count="171" uniqueCount="111">
  <si>
    <t>Develop and solve an integer programming model to determine which stores the Kreeger chain should keep open in Portland to maintain optimal revenue.</t>
  </si>
  <si>
    <t xml:space="preserve">The Kreeger Grocery Store chain has bought out a competing grocery store chain. However, it now has too many stores in close proximity to each other in certain cities. In Portland, the chain has 10 stores, and it does not want any stores closer than 2 miles to each other. Following are the monthly revenues ($1,000s) from each store closer than 2 miles to each store and a map showing the general proximity of the stores. Stores within 2 miles of each other are circled. </t>
  </si>
  <si>
    <t>The below map shows a high-level city map with 16 districts. The goal is to find what is the optimal number of firestations required to serve all the districts. First station in one district will serve the district immediately adjacent to it. Assume that it costs the same amount to setup any firestation.</t>
  </si>
  <si>
    <t>The dispatcher for Citywide Taxi company has six taxicabs and five customers who have called for service. The dispatcher wants to assign each customer to a taxi in a way that minimizes the total distance traveled by all taxis.
The distances (in miles) between each taxi and each customer are given in the following table:</t>
  </si>
  <si>
    <t>Customer</t>
  </si>
  <si>
    <t xml:space="preserve">                Taxi</t>
  </si>
  <si>
    <t>Objective Function: Minimization</t>
  </si>
  <si>
    <t>Contraints:</t>
  </si>
  <si>
    <t>&lt;=</t>
  </si>
  <si>
    <t>x1,1+x1,2+x1,3+x1,4+x1,5</t>
  </si>
  <si>
    <t>=</t>
  </si>
  <si>
    <t>At least 1 taxi]</t>
  </si>
  <si>
    <t>Taxis</t>
  </si>
  <si>
    <t>x21+x22+x23+x24+x25</t>
  </si>
  <si>
    <t>x31+x32+x33+x34+x35</t>
  </si>
  <si>
    <t>x41+x42+x43+x44+x45</t>
  </si>
  <si>
    <t>x51+x52+x53+x54+x55</t>
  </si>
  <si>
    <t>x61+x62+x63+x64+x65</t>
  </si>
  <si>
    <t>Decision Variable</t>
  </si>
  <si>
    <t>Store Locs</t>
  </si>
  <si>
    <t>Objective Function (max)</t>
  </si>
  <si>
    <t>Constraints</t>
  </si>
  <si>
    <t>Only 1 of either 1 and 3</t>
  </si>
  <si>
    <t>Revenue at each location</t>
  </si>
  <si>
    <t>Only 1,2,4</t>
  </si>
  <si>
    <t>If location 4 (4,5,6)</t>
  </si>
  <si>
    <t>X4+X5+X6</t>
  </si>
  <si>
    <t>x1+x3</t>
  </si>
  <si>
    <t>x1+x2+x4</t>
  </si>
  <si>
    <t>If location 6 (6,9)</t>
  </si>
  <si>
    <t>If location 7 (6,7,8)</t>
  </si>
  <si>
    <t>If location 8 (8,10)</t>
  </si>
  <si>
    <t>If location 9 (9,10)</t>
  </si>
  <si>
    <t>X6+X9</t>
  </si>
  <si>
    <t>X6+X7+X8</t>
  </si>
  <si>
    <t>X8+X10</t>
  </si>
  <si>
    <t>X9+X10</t>
  </si>
  <si>
    <t>If location 1 (1,3)</t>
  </si>
  <si>
    <t>If location 2(1,2,4)</t>
  </si>
  <si>
    <t>X3+X2+X6+X7</t>
  </si>
  <si>
    <t>FIRESTATION LOCATION</t>
  </si>
  <si>
    <t>DECISION VARS</t>
  </si>
  <si>
    <t>OBJ(MIN)</t>
  </si>
  <si>
    <t>CONSTRAINTS</t>
  </si>
  <si>
    <t>X2+X1+X3+X5</t>
  </si>
  <si>
    <t>x4+x1+x10+x5</t>
  </si>
  <si>
    <t>x5+x4+x8+x2+x6+x1</t>
  </si>
  <si>
    <t>x6+x3+x9+x5+x7</t>
  </si>
  <si>
    <t>x7+x3+x6+x13</t>
  </si>
  <si>
    <t>x8+x5+x11+x4</t>
  </si>
  <si>
    <t>x9+x8+x12+x6</t>
  </si>
  <si>
    <t>x11+x8+x14+x4</t>
  </si>
  <si>
    <t>x12+x9+x11+x15</t>
  </si>
  <si>
    <t>x13+x7+x16+x15</t>
  </si>
  <si>
    <t>x14+x11+x15+x10</t>
  </si>
  <si>
    <t>x16+x15+x13</t>
  </si>
  <si>
    <t>x15+x12+x16+x14</t>
  </si>
  <si>
    <t>&gt;=</t>
  </si>
  <si>
    <t xml:space="preserve">Coverage </t>
  </si>
  <si>
    <t>X1+X2+X4</t>
  </si>
  <si>
    <t xml:space="preserve">Assumption is full-side adjacency </t>
  </si>
  <si>
    <t>x10+x4</t>
  </si>
  <si>
    <t>v</t>
  </si>
  <si>
    <t>Permanent Node Set</t>
  </si>
  <si>
    <t>{1}</t>
  </si>
  <si>
    <t>1-2:16</t>
  </si>
  <si>
    <t>1-4:35</t>
  </si>
  <si>
    <t>1-3:09</t>
  </si>
  <si>
    <t>{1,3}</t>
  </si>
  <si>
    <t>1-3-4:24</t>
  </si>
  <si>
    <t>1-3-6:31</t>
  </si>
  <si>
    <t>{1,2,3}</t>
  </si>
  <si>
    <t>1-2-5:40</t>
  </si>
  <si>
    <t>1-4: 35</t>
  </si>
  <si>
    <t>1-3-4: 24</t>
  </si>
  <si>
    <t>1-3-6: 31</t>
  </si>
  <si>
    <t>{1,2,3,4}</t>
  </si>
  <si>
    <t>1-2-5: 41</t>
  </si>
  <si>
    <t>1-3-4-5: 38</t>
  </si>
  <si>
    <t>1-3-4-7: 43</t>
  </si>
  <si>
    <t>1-3-4-6: 45</t>
  </si>
  <si>
    <t>{1,2,3,4,6}</t>
  </si>
  <si>
    <t>1-2-5:41</t>
  </si>
  <si>
    <t>1-3-4-5:38</t>
  </si>
  <si>
    <t>1-3-6-7:44</t>
  </si>
  <si>
    <t>{1,2,3,4,5,6}</t>
  </si>
  <si>
    <t>1-3-4-7:43</t>
  </si>
  <si>
    <t>1-3-4-5-7: 46</t>
  </si>
  <si>
    <t>1-3-6-6:44</t>
  </si>
  <si>
    <t>{1,2,3,4,5,6,7}</t>
  </si>
  <si>
    <t>Destination path</t>
  </si>
  <si>
    <t>input path- output path= 0 (through 6)</t>
  </si>
  <si>
    <t>input path- output path= 0 (through 5)</t>
  </si>
  <si>
    <t>input path- output path= 0 (through 3)</t>
  </si>
  <si>
    <t>input path- output path= 0 (through 4)</t>
  </si>
  <si>
    <t>node if x12+x24, x25</t>
  </si>
  <si>
    <t>Source to next node x12+x13+x14</t>
  </si>
  <si>
    <t>x47</t>
  </si>
  <si>
    <t>x34</t>
  </si>
  <si>
    <t>x13</t>
  </si>
  <si>
    <t>Minimization</t>
  </si>
  <si>
    <t>x12</t>
  </si>
  <si>
    <t>x14</t>
  </si>
  <si>
    <t>x12+x13+x14=1</t>
  </si>
  <si>
    <t>x67</t>
  </si>
  <si>
    <t>x57</t>
  </si>
  <si>
    <t>x46</t>
  </si>
  <si>
    <t>x45</t>
  </si>
  <si>
    <t>x36</t>
  </si>
  <si>
    <t>x25</t>
  </si>
  <si>
    <t>x24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</si>
</sst>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4"/>
      <color theme="1"/>
      <name val="Calibri"/>
      <family val="2"/>
      <scheme val="minor"/>
    </font>
    <font>
      <sz val="20"/>
      <color theme="1"/>
      <name val="Calibri"/>
      <family val="2"/>
      <scheme val="minor"/>
    </font>
    <font>
      <sz val="8"/>
      <name val="Calibri"/>
      <family val="2"/>
      <scheme val="minor"/>
    </font>
    <font>
      <sz val="11"/>
      <color rgb="FF000000"/>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theme="7" tint="-0.249977111117893"/>
        <bgColor indexed="64"/>
      </patternFill>
    </fill>
    <fill>
      <patternFill patternType="solid">
        <fgColor rgb="FF7030A0"/>
        <bgColor indexed="64"/>
      </patternFill>
    </fill>
    <fill>
      <patternFill patternType="solid">
        <fgColor theme="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92D050"/>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50"/>
        <bgColor indexed="64"/>
      </patternFill>
    </fill>
    <fill>
      <patternFill patternType="solid">
        <fgColor theme="9" tint="0.79998168889431442"/>
        <bgColor indexed="64"/>
      </patternFill>
    </fill>
  </fills>
  <borders count="26">
    <border>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s>
  <cellStyleXfs count="1">
    <xf numFmtId="0" fontId="0" fillId="0" borderId="0"/>
  </cellStyleXfs>
  <cellXfs count="65">
    <xf numFmtId="0" fontId="0" fillId="0" borderId="0" xfId="0"/>
    <xf numFmtId="0" fontId="0" fillId="0" borderId="6" xfId="0" applyBorder="1"/>
    <xf numFmtId="0" fontId="1" fillId="6" borderId="0" xfId="0" applyFont="1" applyFill="1"/>
    <xf numFmtId="0" fontId="0" fillId="7" borderId="0" xfId="0" applyFill="1"/>
    <xf numFmtId="0" fontId="1" fillId="0" borderId="0" xfId="0" applyFont="1"/>
    <xf numFmtId="0" fontId="1" fillId="7" borderId="6" xfId="0" applyFont="1" applyFill="1" applyBorder="1"/>
    <xf numFmtId="0" fontId="0" fillId="0" borderId="0" xfId="0" applyAlignment="1">
      <alignment wrapText="1"/>
    </xf>
    <xf numFmtId="0" fontId="0" fillId="0" borderId="0" xfId="0" applyAlignment="1">
      <alignment horizontal="right"/>
    </xf>
    <xf numFmtId="0" fontId="1" fillId="8" borderId="0" xfId="0" applyFont="1" applyFill="1"/>
    <xf numFmtId="0" fontId="0" fillId="2" borderId="6" xfId="0" applyFill="1" applyBorder="1"/>
    <xf numFmtId="0" fontId="3" fillId="4" borderId="6" xfId="0" applyFont="1" applyFill="1" applyBorder="1" applyAlignment="1">
      <alignment horizontal="center" vertical="center"/>
    </xf>
    <xf numFmtId="0" fontId="3" fillId="4" borderId="5" xfId="0" applyFont="1" applyFill="1" applyBorder="1" applyAlignment="1">
      <alignment vertical="center"/>
    </xf>
    <xf numFmtId="0" fontId="3" fillId="13" borderId="16"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12" xfId="0" applyFont="1" applyFill="1" applyBorder="1" applyAlignment="1">
      <alignment horizontal="center" vertical="center"/>
    </xf>
    <xf numFmtId="0" fontId="3" fillId="2" borderId="16" xfId="0" applyFont="1" applyFill="1" applyBorder="1" applyAlignment="1">
      <alignment horizontal="center" vertical="center"/>
    </xf>
    <xf numFmtId="0" fontId="3" fillId="10" borderId="5" xfId="0" applyFont="1" applyFill="1" applyBorder="1" applyAlignment="1">
      <alignment horizontal="center" vertical="center"/>
    </xf>
    <xf numFmtId="0" fontId="3" fillId="10" borderId="11" xfId="0" applyFont="1" applyFill="1" applyBorder="1" applyAlignment="1">
      <alignment vertical="center"/>
    </xf>
    <xf numFmtId="0" fontId="5" fillId="0" borderId="0" xfId="0" applyFont="1"/>
    <xf numFmtId="0" fontId="0" fillId="14" borderId="0" xfId="0" applyFill="1"/>
    <xf numFmtId="2" fontId="0" fillId="0" borderId="0" xfId="0" applyNumberFormat="1"/>
    <xf numFmtId="0" fontId="1" fillId="7" borderId="0" xfId="0" applyFont="1" applyFill="1"/>
    <xf numFmtId="0" fontId="2" fillId="0" borderId="3" xfId="0" applyFont="1" applyBorder="1" applyAlignment="1">
      <alignment horizontal="left" wrapText="1"/>
    </xf>
    <xf numFmtId="0" fontId="2" fillId="0" borderId="2" xfId="0" applyFont="1" applyBorder="1" applyAlignment="1">
      <alignment horizontal="left" wrapText="1"/>
    </xf>
    <xf numFmtId="0" fontId="2" fillId="0" borderId="1" xfId="0" applyFont="1" applyBorder="1" applyAlignment="1">
      <alignment horizontal="left" wrapText="1"/>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9" xfId="0" applyFont="1" applyFill="1" applyBorder="1" applyAlignment="1">
      <alignment horizontal="center" vertical="center"/>
    </xf>
    <xf numFmtId="0" fontId="3" fillId="4" borderId="10"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3"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14" xfId="0" applyFont="1" applyFill="1" applyBorder="1" applyAlignment="1">
      <alignment horizontal="center" vertical="center"/>
    </xf>
    <xf numFmtId="0" fontId="3" fillId="8" borderId="7" xfId="0" applyFont="1" applyFill="1" applyBorder="1" applyAlignment="1">
      <alignment horizontal="center" vertical="center"/>
    </xf>
    <xf numFmtId="0" fontId="3" fillId="8" borderId="17" xfId="0" applyFont="1" applyFill="1" applyBorder="1" applyAlignment="1">
      <alignment horizontal="center" vertical="center"/>
    </xf>
    <xf numFmtId="0" fontId="3" fillId="8" borderId="5" xfId="0" applyFont="1" applyFill="1" applyBorder="1" applyAlignment="1">
      <alignment horizontal="center" vertical="center"/>
    </xf>
    <xf numFmtId="0" fontId="3" fillId="8" borderId="12" xfId="0" applyFont="1" applyFill="1" applyBorder="1" applyAlignment="1">
      <alignment horizontal="center" vertical="center"/>
    </xf>
    <xf numFmtId="0" fontId="3" fillId="4" borderId="22" xfId="0" applyFont="1" applyFill="1" applyBorder="1" applyAlignment="1">
      <alignment horizontal="center" vertical="center"/>
    </xf>
    <xf numFmtId="0" fontId="3" fillId="4" borderId="23" xfId="0" applyFont="1" applyFill="1" applyBorder="1" applyAlignment="1">
      <alignment horizontal="center" vertical="center"/>
    </xf>
    <xf numFmtId="0" fontId="3" fillId="4" borderId="25" xfId="0" applyFont="1" applyFill="1" applyBorder="1" applyAlignment="1">
      <alignment horizontal="center" vertical="center"/>
    </xf>
    <xf numFmtId="0" fontId="3" fillId="10" borderId="21" xfId="0" applyFont="1" applyFill="1" applyBorder="1" applyAlignment="1">
      <alignment horizontal="center" vertical="center"/>
    </xf>
    <xf numFmtId="0" fontId="3" fillId="10" borderId="13" xfId="0" applyFont="1" applyFill="1" applyBorder="1" applyAlignment="1">
      <alignment horizontal="center" vertical="center"/>
    </xf>
    <xf numFmtId="0" fontId="3" fillId="10" borderId="0" xfId="0" applyFont="1" applyFill="1" applyAlignment="1">
      <alignment horizontal="center" vertical="center"/>
    </xf>
    <xf numFmtId="0" fontId="3" fillId="10" borderId="11" xfId="0" applyFont="1" applyFill="1" applyBorder="1" applyAlignment="1">
      <alignment horizontal="center" vertical="center"/>
    </xf>
    <xf numFmtId="0" fontId="1" fillId="9" borderId="0" xfId="0" applyFont="1" applyFill="1" applyAlignment="1">
      <alignment horizontal="center"/>
    </xf>
    <xf numFmtId="0" fontId="1" fillId="9" borderId="13" xfId="0" applyFont="1" applyFill="1" applyBorder="1" applyAlignment="1">
      <alignment horizontal="center"/>
    </xf>
    <xf numFmtId="0" fontId="3" fillId="10" borderId="9" xfId="0" applyFont="1" applyFill="1" applyBorder="1" applyAlignment="1">
      <alignment horizontal="center" vertical="center"/>
    </xf>
    <xf numFmtId="0" fontId="3" fillId="10" borderId="10" xfId="0" applyFont="1" applyFill="1" applyBorder="1" applyAlignment="1">
      <alignment horizontal="center" vertical="center"/>
    </xf>
    <xf numFmtId="0" fontId="3" fillId="11" borderId="14" xfId="0" applyFont="1" applyFill="1" applyBorder="1" applyAlignment="1">
      <alignment horizontal="center" vertical="center"/>
    </xf>
    <xf numFmtId="0" fontId="3" fillId="11" borderId="6" xfId="0" applyFont="1" applyFill="1" applyBorder="1" applyAlignment="1">
      <alignment horizontal="center" vertical="center"/>
    </xf>
    <xf numFmtId="0" fontId="3" fillId="11" borderId="4" xfId="0" applyFont="1" applyFill="1" applyBorder="1" applyAlignment="1">
      <alignment horizontal="center" vertical="center"/>
    </xf>
    <xf numFmtId="0" fontId="3" fillId="12" borderId="18" xfId="0" applyFont="1" applyFill="1" applyBorder="1" applyAlignment="1">
      <alignment horizontal="center" vertical="center"/>
    </xf>
    <xf numFmtId="0" fontId="3" fillId="12" borderId="19" xfId="0" applyFont="1" applyFill="1" applyBorder="1" applyAlignment="1">
      <alignment horizontal="center" vertical="center"/>
    </xf>
    <xf numFmtId="0" fontId="3" fillId="12" borderId="20" xfId="0" applyFont="1" applyFill="1" applyBorder="1" applyAlignment="1">
      <alignment horizontal="center" vertical="center"/>
    </xf>
    <xf numFmtId="0" fontId="3" fillId="4" borderId="24" xfId="0" applyFont="1" applyFill="1" applyBorder="1" applyAlignment="1">
      <alignment horizontal="center" vertical="center"/>
    </xf>
    <xf numFmtId="0" fontId="3" fillId="10" borderId="8" xfId="0" applyFont="1" applyFill="1" applyBorder="1" applyAlignment="1">
      <alignment horizontal="center" vertical="center"/>
    </xf>
    <xf numFmtId="0" fontId="3" fillId="4" borderId="15" xfId="0" applyFont="1" applyFill="1" applyBorder="1" applyAlignment="1">
      <alignment horizontal="center" vertical="center"/>
    </xf>
    <xf numFmtId="0" fontId="0" fillId="0" borderId="0" xfId="0" applyAlignment="1">
      <alignment horizontal="left" wrapText="1"/>
    </xf>
    <xf numFmtId="0" fontId="1" fillId="5" borderId="0" xfId="0" applyFont="1" applyFill="1" applyAlignment="1">
      <alignment horizontal="center"/>
    </xf>
    <xf numFmtId="0" fontId="1" fillId="5" borderId="0" xfId="0" applyFont="1" applyFill="1" applyAlignment="1">
      <alignment horizontal="center" textRotation="90" wrapText="1"/>
    </xf>
    <xf numFmtId="0" fontId="1" fillId="7"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3</xdr:col>
      <xdr:colOff>0</xdr:colOff>
      <xdr:row>7</xdr:row>
      <xdr:rowOff>0</xdr:rowOff>
    </xdr:from>
    <xdr:ext cx="4762500" cy="2924175"/>
    <xdr:pic>
      <xdr:nvPicPr>
        <xdr:cNvPr id="2" name="Picture 1" descr="Solved] The Kreeger Grocery Store chain has bough | SolutionInn">
          <a:extLst>
            <a:ext uri="{FF2B5EF4-FFF2-40B4-BE49-F238E27FC236}">
              <a16:creationId xmlns:a16="http://schemas.microsoft.com/office/drawing/2014/main" id="{EAA413B3-3B56-4F0A-884B-F5ED9B9FC8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1333500"/>
          <a:ext cx="4762500" cy="29241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9</xdr:col>
      <xdr:colOff>353981</xdr:colOff>
      <xdr:row>30</xdr:row>
      <xdr:rowOff>62205</xdr:rowOff>
    </xdr:from>
    <xdr:to>
      <xdr:col>10</xdr:col>
      <xdr:colOff>350871</xdr:colOff>
      <xdr:row>33</xdr:row>
      <xdr:rowOff>115856</xdr:rowOff>
    </xdr:to>
    <xdr:sp macro="" textlink="">
      <xdr:nvSpPr>
        <xdr:cNvPr id="2" name="Oval 1">
          <a:extLst>
            <a:ext uri="{FF2B5EF4-FFF2-40B4-BE49-F238E27FC236}">
              <a16:creationId xmlns:a16="http://schemas.microsoft.com/office/drawing/2014/main" id="{C7F4A50B-8BD6-424A-860A-B587204F935A}"/>
            </a:ext>
          </a:extLst>
        </xdr:cNvPr>
        <xdr:cNvSpPr/>
      </xdr:nvSpPr>
      <xdr:spPr>
        <a:xfrm>
          <a:off x="7084981" y="5777205"/>
          <a:ext cx="669990" cy="62515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3</a:t>
          </a:r>
        </a:p>
      </xdr:txBody>
    </xdr:sp>
    <xdr:clientData/>
  </xdr:twoCellAnchor>
  <xdr:twoCellAnchor>
    <xdr:from>
      <xdr:col>6</xdr:col>
      <xdr:colOff>47625</xdr:colOff>
      <xdr:row>22</xdr:row>
      <xdr:rowOff>14167</xdr:rowOff>
    </xdr:from>
    <xdr:to>
      <xdr:col>7</xdr:col>
      <xdr:colOff>44515</xdr:colOff>
      <xdr:row>25</xdr:row>
      <xdr:rowOff>67818</xdr:rowOff>
    </xdr:to>
    <xdr:sp macro="" textlink="">
      <xdr:nvSpPr>
        <xdr:cNvPr id="3" name="Oval 2">
          <a:extLst>
            <a:ext uri="{FF2B5EF4-FFF2-40B4-BE49-F238E27FC236}">
              <a16:creationId xmlns:a16="http://schemas.microsoft.com/office/drawing/2014/main" id="{0517E79B-2EA6-DF45-B821-9A354A680298}"/>
            </a:ext>
          </a:extLst>
        </xdr:cNvPr>
        <xdr:cNvSpPr/>
      </xdr:nvSpPr>
      <xdr:spPr>
        <a:xfrm>
          <a:off x="4759325" y="4205167"/>
          <a:ext cx="669990" cy="62515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1</a:t>
          </a:r>
        </a:p>
      </xdr:txBody>
    </xdr:sp>
    <xdr:clientData/>
  </xdr:twoCellAnchor>
  <xdr:twoCellAnchor>
    <xdr:from>
      <xdr:col>10</xdr:col>
      <xdr:colOff>47626</xdr:colOff>
      <xdr:row>15</xdr:row>
      <xdr:rowOff>13390</xdr:rowOff>
    </xdr:from>
    <xdr:to>
      <xdr:col>11</xdr:col>
      <xdr:colOff>44516</xdr:colOff>
      <xdr:row>18</xdr:row>
      <xdr:rowOff>67041</xdr:rowOff>
    </xdr:to>
    <xdr:sp macro="" textlink="">
      <xdr:nvSpPr>
        <xdr:cNvPr id="4" name="Oval 3">
          <a:extLst>
            <a:ext uri="{FF2B5EF4-FFF2-40B4-BE49-F238E27FC236}">
              <a16:creationId xmlns:a16="http://schemas.microsoft.com/office/drawing/2014/main" id="{B74D702B-1D10-254D-A5C4-795BA62404E3}"/>
            </a:ext>
          </a:extLst>
        </xdr:cNvPr>
        <xdr:cNvSpPr/>
      </xdr:nvSpPr>
      <xdr:spPr>
        <a:xfrm>
          <a:off x="7451726" y="2870890"/>
          <a:ext cx="669990" cy="62515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2</a:t>
          </a:r>
        </a:p>
      </xdr:txBody>
    </xdr:sp>
    <xdr:clientData/>
  </xdr:twoCellAnchor>
  <xdr:twoCellAnchor>
    <xdr:from>
      <xdr:col>13</xdr:col>
      <xdr:colOff>545258</xdr:colOff>
      <xdr:row>22</xdr:row>
      <xdr:rowOff>14167</xdr:rowOff>
    </xdr:from>
    <xdr:to>
      <xdr:col>14</xdr:col>
      <xdr:colOff>542148</xdr:colOff>
      <xdr:row>25</xdr:row>
      <xdr:rowOff>67818</xdr:rowOff>
    </xdr:to>
    <xdr:sp macro="" textlink="">
      <xdr:nvSpPr>
        <xdr:cNvPr id="5" name="Oval 4">
          <a:extLst>
            <a:ext uri="{FF2B5EF4-FFF2-40B4-BE49-F238E27FC236}">
              <a16:creationId xmlns:a16="http://schemas.microsoft.com/office/drawing/2014/main" id="{DA800025-3970-C84D-B60E-ADB96B695C67}"/>
            </a:ext>
          </a:extLst>
        </xdr:cNvPr>
        <xdr:cNvSpPr/>
      </xdr:nvSpPr>
      <xdr:spPr>
        <a:xfrm>
          <a:off x="9968658" y="4205167"/>
          <a:ext cx="669990" cy="62515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4</a:t>
          </a:r>
        </a:p>
      </xdr:txBody>
    </xdr:sp>
    <xdr:clientData/>
  </xdr:twoCellAnchor>
  <xdr:twoCellAnchor>
    <xdr:from>
      <xdr:col>16</xdr:col>
      <xdr:colOff>464393</xdr:colOff>
      <xdr:row>14</xdr:row>
      <xdr:rowOff>114300</xdr:rowOff>
    </xdr:from>
    <xdr:to>
      <xdr:col>17</xdr:col>
      <xdr:colOff>461283</xdr:colOff>
      <xdr:row>17</xdr:row>
      <xdr:rowOff>167951</xdr:rowOff>
    </xdr:to>
    <xdr:sp macro="" textlink="">
      <xdr:nvSpPr>
        <xdr:cNvPr id="6" name="Oval 5">
          <a:extLst>
            <a:ext uri="{FF2B5EF4-FFF2-40B4-BE49-F238E27FC236}">
              <a16:creationId xmlns:a16="http://schemas.microsoft.com/office/drawing/2014/main" id="{17906F45-AD3F-184D-AB19-BFAEFFA6C434}"/>
            </a:ext>
          </a:extLst>
        </xdr:cNvPr>
        <xdr:cNvSpPr/>
      </xdr:nvSpPr>
      <xdr:spPr>
        <a:xfrm>
          <a:off x="11907093" y="2781300"/>
          <a:ext cx="669990" cy="62515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5</a:t>
          </a:r>
        </a:p>
      </xdr:txBody>
    </xdr:sp>
    <xdr:clientData/>
  </xdr:twoCellAnchor>
  <xdr:twoCellAnchor>
    <xdr:from>
      <xdr:col>18</xdr:col>
      <xdr:colOff>554976</xdr:colOff>
      <xdr:row>20</xdr:row>
      <xdr:rowOff>147735</xdr:rowOff>
    </xdr:from>
    <xdr:to>
      <xdr:col>19</xdr:col>
      <xdr:colOff>551866</xdr:colOff>
      <xdr:row>24</xdr:row>
      <xdr:rowOff>10886</xdr:rowOff>
    </xdr:to>
    <xdr:sp macro="" textlink="">
      <xdr:nvSpPr>
        <xdr:cNvPr id="7" name="Oval 6">
          <a:extLst>
            <a:ext uri="{FF2B5EF4-FFF2-40B4-BE49-F238E27FC236}">
              <a16:creationId xmlns:a16="http://schemas.microsoft.com/office/drawing/2014/main" id="{8D5A49A1-8CE0-9A45-A747-9BAE2EC63948}"/>
            </a:ext>
          </a:extLst>
        </xdr:cNvPr>
        <xdr:cNvSpPr/>
      </xdr:nvSpPr>
      <xdr:spPr>
        <a:xfrm>
          <a:off x="13343876" y="3957735"/>
          <a:ext cx="669990" cy="62515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7</a:t>
          </a:r>
        </a:p>
      </xdr:txBody>
    </xdr:sp>
    <xdr:clientData/>
  </xdr:twoCellAnchor>
  <xdr:twoCellAnchor>
    <xdr:from>
      <xdr:col>16</xdr:col>
      <xdr:colOff>489275</xdr:colOff>
      <xdr:row>28</xdr:row>
      <xdr:rowOff>139182</xdr:rowOff>
    </xdr:from>
    <xdr:to>
      <xdr:col>17</xdr:col>
      <xdr:colOff>486165</xdr:colOff>
      <xdr:row>32</xdr:row>
      <xdr:rowOff>2333</xdr:rowOff>
    </xdr:to>
    <xdr:sp macro="" textlink="">
      <xdr:nvSpPr>
        <xdr:cNvPr id="8" name="Oval 7">
          <a:extLst>
            <a:ext uri="{FF2B5EF4-FFF2-40B4-BE49-F238E27FC236}">
              <a16:creationId xmlns:a16="http://schemas.microsoft.com/office/drawing/2014/main" id="{F6280F46-8173-F44B-B0E6-179D9F4A8CAA}"/>
            </a:ext>
          </a:extLst>
        </xdr:cNvPr>
        <xdr:cNvSpPr/>
      </xdr:nvSpPr>
      <xdr:spPr>
        <a:xfrm>
          <a:off x="11931975" y="5473182"/>
          <a:ext cx="669990" cy="62515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6</a:t>
          </a:r>
        </a:p>
      </xdr:txBody>
    </xdr:sp>
    <xdr:clientData/>
  </xdr:twoCellAnchor>
  <xdr:twoCellAnchor>
    <xdr:from>
      <xdr:col>6</xdr:col>
      <xdr:colOff>565297</xdr:colOff>
      <xdr:row>17</xdr:row>
      <xdr:rowOff>165990</xdr:rowOff>
    </xdr:from>
    <xdr:to>
      <xdr:col>10</xdr:col>
      <xdr:colOff>136444</xdr:colOff>
      <xdr:row>22</xdr:row>
      <xdr:rowOff>105718</xdr:rowOff>
    </xdr:to>
    <xdr:cxnSp macro="">
      <xdr:nvCxnSpPr>
        <xdr:cNvPr id="9" name="Straight Connector 8">
          <a:extLst>
            <a:ext uri="{FF2B5EF4-FFF2-40B4-BE49-F238E27FC236}">
              <a16:creationId xmlns:a16="http://schemas.microsoft.com/office/drawing/2014/main" id="{4666661B-EEA2-014C-A899-E41F25DE08F8}"/>
            </a:ext>
          </a:extLst>
        </xdr:cNvPr>
        <xdr:cNvCxnSpPr>
          <a:cxnSpLocks/>
          <a:stCxn id="3" idx="7"/>
          <a:endCxn id="4" idx="3"/>
        </xdr:cNvCxnSpPr>
      </xdr:nvCxnSpPr>
      <xdr:spPr>
        <a:xfrm flipV="1">
          <a:off x="5276997" y="3404490"/>
          <a:ext cx="2263547" cy="892228"/>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44515</xdr:colOff>
      <xdr:row>23</xdr:row>
      <xdr:rowOff>136243</xdr:rowOff>
    </xdr:from>
    <xdr:to>
      <xdr:col>13</xdr:col>
      <xdr:colOff>545258</xdr:colOff>
      <xdr:row>23</xdr:row>
      <xdr:rowOff>136243</xdr:rowOff>
    </xdr:to>
    <xdr:cxnSp macro="">
      <xdr:nvCxnSpPr>
        <xdr:cNvPr id="10" name="Straight Connector 9">
          <a:extLst>
            <a:ext uri="{FF2B5EF4-FFF2-40B4-BE49-F238E27FC236}">
              <a16:creationId xmlns:a16="http://schemas.microsoft.com/office/drawing/2014/main" id="{3B048438-8EA9-B544-9047-4EE9C83C766D}"/>
            </a:ext>
          </a:extLst>
        </xdr:cNvPr>
        <xdr:cNvCxnSpPr>
          <a:cxnSpLocks/>
          <a:stCxn id="3" idx="6"/>
          <a:endCxn id="5" idx="2"/>
        </xdr:cNvCxnSpPr>
      </xdr:nvCxnSpPr>
      <xdr:spPr>
        <a:xfrm>
          <a:off x="5429315" y="4517743"/>
          <a:ext cx="4539343" cy="0"/>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565297</xdr:colOff>
      <xdr:row>24</xdr:row>
      <xdr:rowOff>166767</xdr:rowOff>
    </xdr:from>
    <xdr:to>
      <xdr:col>9</xdr:col>
      <xdr:colOff>532430</xdr:colOff>
      <xdr:row>32</xdr:row>
      <xdr:rowOff>86309</xdr:rowOff>
    </xdr:to>
    <xdr:cxnSp macro="">
      <xdr:nvCxnSpPr>
        <xdr:cNvPr id="11" name="Straight Connector 10">
          <a:extLst>
            <a:ext uri="{FF2B5EF4-FFF2-40B4-BE49-F238E27FC236}">
              <a16:creationId xmlns:a16="http://schemas.microsoft.com/office/drawing/2014/main" id="{447CACF9-C972-DD4F-B3F4-CADE2886BFDF}"/>
            </a:ext>
          </a:extLst>
        </xdr:cNvPr>
        <xdr:cNvCxnSpPr>
          <a:cxnSpLocks/>
          <a:stCxn id="3" idx="5"/>
        </xdr:cNvCxnSpPr>
      </xdr:nvCxnSpPr>
      <xdr:spPr>
        <a:xfrm>
          <a:off x="5276997" y="4738767"/>
          <a:ext cx="1986433" cy="1443542"/>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565298</xdr:colOff>
      <xdr:row>17</xdr:row>
      <xdr:rowOff>165990</xdr:rowOff>
    </xdr:from>
    <xdr:to>
      <xdr:col>14</xdr:col>
      <xdr:colOff>24476</xdr:colOff>
      <xdr:row>22</xdr:row>
      <xdr:rowOff>105718</xdr:rowOff>
    </xdr:to>
    <xdr:cxnSp macro="">
      <xdr:nvCxnSpPr>
        <xdr:cNvPr id="12" name="Straight Connector 11">
          <a:extLst>
            <a:ext uri="{FF2B5EF4-FFF2-40B4-BE49-F238E27FC236}">
              <a16:creationId xmlns:a16="http://schemas.microsoft.com/office/drawing/2014/main" id="{87AB3FA7-983A-EB4B-8FB0-21CD50FFD0CE}"/>
            </a:ext>
          </a:extLst>
        </xdr:cNvPr>
        <xdr:cNvCxnSpPr>
          <a:cxnSpLocks/>
          <a:stCxn id="5" idx="1"/>
          <a:endCxn id="4" idx="5"/>
        </xdr:cNvCxnSpPr>
      </xdr:nvCxnSpPr>
      <xdr:spPr>
        <a:xfrm flipH="1" flipV="1">
          <a:off x="7969398" y="3404490"/>
          <a:ext cx="2151578" cy="892228"/>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44516</xdr:colOff>
      <xdr:row>16</xdr:row>
      <xdr:rowOff>45876</xdr:rowOff>
    </xdr:from>
    <xdr:to>
      <xdr:col>16</xdr:col>
      <xdr:colOff>464393</xdr:colOff>
      <xdr:row>16</xdr:row>
      <xdr:rowOff>135466</xdr:rowOff>
    </xdr:to>
    <xdr:cxnSp macro="">
      <xdr:nvCxnSpPr>
        <xdr:cNvPr id="13" name="Straight Connector 12">
          <a:extLst>
            <a:ext uri="{FF2B5EF4-FFF2-40B4-BE49-F238E27FC236}">
              <a16:creationId xmlns:a16="http://schemas.microsoft.com/office/drawing/2014/main" id="{32139209-4C3B-C74E-AEB5-16A002BC7674}"/>
            </a:ext>
          </a:extLst>
        </xdr:cNvPr>
        <xdr:cNvCxnSpPr>
          <a:cxnSpLocks/>
          <a:stCxn id="6" idx="2"/>
          <a:endCxn id="4" idx="6"/>
        </xdr:cNvCxnSpPr>
      </xdr:nvCxnSpPr>
      <xdr:spPr>
        <a:xfrm flipH="1">
          <a:off x="8121716" y="3093876"/>
          <a:ext cx="3785377" cy="89590"/>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453330</xdr:colOff>
      <xdr:row>17</xdr:row>
      <xdr:rowOff>76400</xdr:rowOff>
    </xdr:from>
    <xdr:to>
      <xdr:col>16</xdr:col>
      <xdr:colOff>553211</xdr:colOff>
      <xdr:row>22</xdr:row>
      <xdr:rowOff>105718</xdr:rowOff>
    </xdr:to>
    <xdr:cxnSp macro="">
      <xdr:nvCxnSpPr>
        <xdr:cNvPr id="14" name="Straight Connector 13">
          <a:extLst>
            <a:ext uri="{FF2B5EF4-FFF2-40B4-BE49-F238E27FC236}">
              <a16:creationId xmlns:a16="http://schemas.microsoft.com/office/drawing/2014/main" id="{DE48F7CF-3100-3043-9758-A7B8B07EE068}"/>
            </a:ext>
          </a:extLst>
        </xdr:cNvPr>
        <xdr:cNvCxnSpPr>
          <a:cxnSpLocks/>
          <a:stCxn id="5" idx="7"/>
          <a:endCxn id="6" idx="3"/>
        </xdr:cNvCxnSpPr>
      </xdr:nvCxnSpPr>
      <xdr:spPr>
        <a:xfrm flipV="1">
          <a:off x="10549830" y="3314900"/>
          <a:ext cx="1446081" cy="981818"/>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372465</xdr:colOff>
      <xdr:row>16</xdr:row>
      <xdr:rowOff>76400</xdr:rowOff>
    </xdr:from>
    <xdr:to>
      <xdr:col>19</xdr:col>
      <xdr:colOff>34194</xdr:colOff>
      <xdr:row>21</xdr:row>
      <xdr:rowOff>48786</xdr:rowOff>
    </xdr:to>
    <xdr:cxnSp macro="">
      <xdr:nvCxnSpPr>
        <xdr:cNvPr id="15" name="Straight Connector 14">
          <a:extLst>
            <a:ext uri="{FF2B5EF4-FFF2-40B4-BE49-F238E27FC236}">
              <a16:creationId xmlns:a16="http://schemas.microsoft.com/office/drawing/2014/main" id="{78085243-926E-1649-9C1F-A7292457D694}"/>
            </a:ext>
          </a:extLst>
        </xdr:cNvPr>
        <xdr:cNvCxnSpPr>
          <a:cxnSpLocks/>
          <a:stCxn id="7" idx="1"/>
          <a:endCxn id="6" idx="5"/>
        </xdr:cNvCxnSpPr>
      </xdr:nvCxnSpPr>
      <xdr:spPr>
        <a:xfrm flipH="1" flipV="1">
          <a:off x="12488265" y="3124400"/>
          <a:ext cx="1007929" cy="924886"/>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402448</xdr:colOff>
      <xdr:row>23</xdr:row>
      <xdr:rowOff>38100</xdr:rowOff>
    </xdr:from>
    <xdr:to>
      <xdr:col>19</xdr:col>
      <xdr:colOff>88900</xdr:colOff>
      <xdr:row>23</xdr:row>
      <xdr:rowOff>148943</xdr:rowOff>
    </xdr:to>
    <xdr:cxnSp macro="">
      <xdr:nvCxnSpPr>
        <xdr:cNvPr id="16" name="Straight Connector 15">
          <a:extLst>
            <a:ext uri="{FF2B5EF4-FFF2-40B4-BE49-F238E27FC236}">
              <a16:creationId xmlns:a16="http://schemas.microsoft.com/office/drawing/2014/main" id="{74B833BF-2264-3C42-9F9A-D4B3D67156A3}"/>
            </a:ext>
          </a:extLst>
        </xdr:cNvPr>
        <xdr:cNvCxnSpPr>
          <a:cxnSpLocks/>
        </xdr:cNvCxnSpPr>
      </xdr:nvCxnSpPr>
      <xdr:spPr>
        <a:xfrm flipH="1">
          <a:off x="11349848" y="4432300"/>
          <a:ext cx="3051952" cy="110843"/>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325471</xdr:colOff>
      <xdr:row>23</xdr:row>
      <xdr:rowOff>128667</xdr:rowOff>
    </xdr:from>
    <xdr:to>
      <xdr:col>13</xdr:col>
      <xdr:colOff>672176</xdr:colOff>
      <xdr:row>31</xdr:row>
      <xdr:rowOff>146181</xdr:rowOff>
    </xdr:to>
    <xdr:cxnSp macro="">
      <xdr:nvCxnSpPr>
        <xdr:cNvPr id="17" name="Straight Connector 16">
          <a:extLst>
            <a:ext uri="{FF2B5EF4-FFF2-40B4-BE49-F238E27FC236}">
              <a16:creationId xmlns:a16="http://schemas.microsoft.com/office/drawing/2014/main" id="{B6B1FA61-F6B7-044C-B987-2DD0C524276F}"/>
            </a:ext>
          </a:extLst>
        </xdr:cNvPr>
        <xdr:cNvCxnSpPr>
          <a:cxnSpLocks/>
        </xdr:cNvCxnSpPr>
      </xdr:nvCxnSpPr>
      <xdr:spPr>
        <a:xfrm flipV="1">
          <a:off x="8580471" y="4522867"/>
          <a:ext cx="2366005" cy="1541514"/>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173153</xdr:colOff>
      <xdr:row>30</xdr:row>
      <xdr:rowOff>165100</xdr:rowOff>
    </xdr:from>
    <xdr:to>
      <xdr:col>16</xdr:col>
      <xdr:colOff>622300</xdr:colOff>
      <xdr:row>33</xdr:row>
      <xdr:rowOff>37005</xdr:rowOff>
    </xdr:to>
    <xdr:cxnSp macro="">
      <xdr:nvCxnSpPr>
        <xdr:cNvPr id="18" name="Straight Connector 17">
          <a:extLst>
            <a:ext uri="{FF2B5EF4-FFF2-40B4-BE49-F238E27FC236}">
              <a16:creationId xmlns:a16="http://schemas.microsoft.com/office/drawing/2014/main" id="{4375BF28-57D8-F746-90F0-826C73ECD0A9}"/>
            </a:ext>
          </a:extLst>
        </xdr:cNvPr>
        <xdr:cNvCxnSpPr>
          <a:cxnSpLocks/>
        </xdr:cNvCxnSpPr>
      </xdr:nvCxnSpPr>
      <xdr:spPr>
        <a:xfrm flipV="1">
          <a:off x="8428153" y="5892800"/>
          <a:ext cx="4487747" cy="443405"/>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397347</xdr:colOff>
      <xdr:row>23</xdr:row>
      <xdr:rowOff>109835</xdr:rowOff>
    </xdr:from>
    <xdr:to>
      <xdr:col>19</xdr:col>
      <xdr:colOff>34194</xdr:colOff>
      <xdr:row>28</xdr:row>
      <xdr:rowOff>40233</xdr:rowOff>
    </xdr:to>
    <xdr:cxnSp macro="">
      <xdr:nvCxnSpPr>
        <xdr:cNvPr id="19" name="Straight Connector 18">
          <a:extLst>
            <a:ext uri="{FF2B5EF4-FFF2-40B4-BE49-F238E27FC236}">
              <a16:creationId xmlns:a16="http://schemas.microsoft.com/office/drawing/2014/main" id="{A7771D12-F6C2-4343-97AC-ED8C4AE0683B}"/>
            </a:ext>
          </a:extLst>
        </xdr:cNvPr>
        <xdr:cNvCxnSpPr>
          <a:cxnSpLocks/>
          <a:stCxn id="8" idx="7"/>
          <a:endCxn id="7" idx="3"/>
        </xdr:cNvCxnSpPr>
      </xdr:nvCxnSpPr>
      <xdr:spPr>
        <a:xfrm flipV="1">
          <a:off x="12513147" y="4491335"/>
          <a:ext cx="983047" cy="882898"/>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453330</xdr:colOff>
      <xdr:row>24</xdr:row>
      <xdr:rowOff>166767</xdr:rowOff>
    </xdr:from>
    <xdr:to>
      <xdr:col>16</xdr:col>
      <xdr:colOff>578093</xdr:colOff>
      <xdr:row>29</xdr:row>
      <xdr:rowOff>40233</xdr:rowOff>
    </xdr:to>
    <xdr:cxnSp macro="">
      <xdr:nvCxnSpPr>
        <xdr:cNvPr id="20" name="Straight Connector 19">
          <a:extLst>
            <a:ext uri="{FF2B5EF4-FFF2-40B4-BE49-F238E27FC236}">
              <a16:creationId xmlns:a16="http://schemas.microsoft.com/office/drawing/2014/main" id="{51052CA8-858A-D345-8F18-43742AA7F0F3}"/>
            </a:ext>
          </a:extLst>
        </xdr:cNvPr>
        <xdr:cNvCxnSpPr>
          <a:cxnSpLocks/>
          <a:stCxn id="5" idx="5"/>
          <a:endCxn id="8" idx="1"/>
        </xdr:cNvCxnSpPr>
      </xdr:nvCxnSpPr>
      <xdr:spPr>
        <a:xfrm>
          <a:off x="10549830" y="4738767"/>
          <a:ext cx="1470963" cy="825966"/>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445522</xdr:colOff>
      <xdr:row>17</xdr:row>
      <xdr:rowOff>67041</xdr:rowOff>
    </xdr:from>
    <xdr:to>
      <xdr:col>8</xdr:col>
      <xdr:colOff>255800</xdr:colOff>
      <xdr:row>19</xdr:row>
      <xdr:rowOff>55373</xdr:rowOff>
    </xdr:to>
    <xdr:sp macro="" textlink="">
      <xdr:nvSpPr>
        <xdr:cNvPr id="21" name="TextBox 52">
          <a:extLst>
            <a:ext uri="{FF2B5EF4-FFF2-40B4-BE49-F238E27FC236}">
              <a16:creationId xmlns:a16="http://schemas.microsoft.com/office/drawing/2014/main" id="{D312948E-07F8-6646-8415-791C23029404}"/>
            </a:ext>
          </a:extLst>
        </xdr:cNvPr>
        <xdr:cNvSpPr txBox="1"/>
      </xdr:nvSpPr>
      <xdr:spPr>
        <a:xfrm>
          <a:off x="5830322" y="3305541"/>
          <a:ext cx="4833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16</a:t>
          </a:r>
        </a:p>
      </xdr:txBody>
    </xdr:sp>
    <xdr:clientData/>
  </xdr:twoCellAnchor>
  <xdr:twoCellAnchor>
    <xdr:from>
      <xdr:col>11</xdr:col>
      <xdr:colOff>461762</xdr:colOff>
      <xdr:row>27</xdr:row>
      <xdr:rowOff>44067</xdr:rowOff>
    </xdr:from>
    <xdr:to>
      <xdr:col>12</xdr:col>
      <xdr:colOff>272040</xdr:colOff>
      <xdr:row>29</xdr:row>
      <xdr:rowOff>32399</xdr:rowOff>
    </xdr:to>
    <xdr:sp macro="" textlink="">
      <xdr:nvSpPr>
        <xdr:cNvPr id="22" name="TextBox 53">
          <a:extLst>
            <a:ext uri="{FF2B5EF4-FFF2-40B4-BE49-F238E27FC236}">
              <a16:creationId xmlns:a16="http://schemas.microsoft.com/office/drawing/2014/main" id="{6616DB97-5B08-BC44-A590-6A60BDC88FC8}"/>
            </a:ext>
          </a:extLst>
        </xdr:cNvPr>
        <xdr:cNvSpPr txBox="1"/>
      </xdr:nvSpPr>
      <xdr:spPr>
        <a:xfrm>
          <a:off x="8538962" y="5187567"/>
          <a:ext cx="4833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15</a:t>
          </a:r>
        </a:p>
      </xdr:txBody>
    </xdr:sp>
    <xdr:clientData/>
  </xdr:twoCellAnchor>
  <xdr:twoCellAnchor>
    <xdr:from>
      <xdr:col>7</xdr:col>
      <xdr:colOff>387983</xdr:colOff>
      <xdr:row>26</xdr:row>
      <xdr:rowOff>168866</xdr:rowOff>
    </xdr:from>
    <xdr:to>
      <xdr:col>8</xdr:col>
      <xdr:colOff>198261</xdr:colOff>
      <xdr:row>28</xdr:row>
      <xdr:rowOff>157198</xdr:rowOff>
    </xdr:to>
    <xdr:sp macro="" textlink="">
      <xdr:nvSpPr>
        <xdr:cNvPr id="23" name="TextBox 54">
          <a:extLst>
            <a:ext uri="{FF2B5EF4-FFF2-40B4-BE49-F238E27FC236}">
              <a16:creationId xmlns:a16="http://schemas.microsoft.com/office/drawing/2014/main" id="{C1032F37-4CB6-2040-BBE9-FFF3B07D383E}"/>
            </a:ext>
          </a:extLst>
        </xdr:cNvPr>
        <xdr:cNvSpPr txBox="1"/>
      </xdr:nvSpPr>
      <xdr:spPr>
        <a:xfrm>
          <a:off x="5772783" y="5121866"/>
          <a:ext cx="4833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9</a:t>
          </a:r>
        </a:p>
      </xdr:txBody>
    </xdr:sp>
    <xdr:clientData/>
  </xdr:twoCellAnchor>
  <xdr:twoCellAnchor>
    <xdr:from>
      <xdr:col>10</xdr:col>
      <xdr:colOff>33451</xdr:colOff>
      <xdr:row>21</xdr:row>
      <xdr:rowOff>173200</xdr:rowOff>
    </xdr:from>
    <xdr:to>
      <xdr:col>10</xdr:col>
      <xdr:colOff>453329</xdr:colOff>
      <xdr:row>23</xdr:row>
      <xdr:rowOff>161532</xdr:rowOff>
    </xdr:to>
    <xdr:sp macro="" textlink="">
      <xdr:nvSpPr>
        <xdr:cNvPr id="24" name="TextBox 55">
          <a:extLst>
            <a:ext uri="{FF2B5EF4-FFF2-40B4-BE49-F238E27FC236}">
              <a16:creationId xmlns:a16="http://schemas.microsoft.com/office/drawing/2014/main" id="{DD52186A-C355-6546-9AD7-F9EEDF9B60AA}"/>
            </a:ext>
          </a:extLst>
        </xdr:cNvPr>
        <xdr:cNvSpPr txBox="1"/>
      </xdr:nvSpPr>
      <xdr:spPr>
        <a:xfrm>
          <a:off x="7437551" y="4173700"/>
          <a:ext cx="4198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35</a:t>
          </a:r>
        </a:p>
      </xdr:txBody>
    </xdr:sp>
    <xdr:clientData/>
  </xdr:twoCellAnchor>
  <xdr:twoCellAnchor>
    <xdr:from>
      <xdr:col>18</xdr:col>
      <xdr:colOff>135098</xdr:colOff>
      <xdr:row>17</xdr:row>
      <xdr:rowOff>38542</xdr:rowOff>
    </xdr:from>
    <xdr:to>
      <xdr:col>18</xdr:col>
      <xdr:colOff>554976</xdr:colOff>
      <xdr:row>19</xdr:row>
      <xdr:rowOff>26874</xdr:rowOff>
    </xdr:to>
    <xdr:sp macro="" textlink="">
      <xdr:nvSpPr>
        <xdr:cNvPr id="25" name="TextBox 56">
          <a:extLst>
            <a:ext uri="{FF2B5EF4-FFF2-40B4-BE49-F238E27FC236}">
              <a16:creationId xmlns:a16="http://schemas.microsoft.com/office/drawing/2014/main" id="{7BBD2725-5AC6-8347-8FF7-2CE6E5E0A891}"/>
            </a:ext>
          </a:extLst>
        </xdr:cNvPr>
        <xdr:cNvSpPr txBox="1"/>
      </xdr:nvSpPr>
      <xdr:spPr>
        <a:xfrm>
          <a:off x="12923998" y="3277042"/>
          <a:ext cx="4198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8</a:t>
          </a:r>
        </a:p>
      </xdr:txBody>
    </xdr:sp>
    <xdr:clientData/>
  </xdr:twoCellAnchor>
  <xdr:twoCellAnchor>
    <xdr:from>
      <xdr:col>15</xdr:col>
      <xdr:colOff>86418</xdr:colOff>
      <xdr:row>18</xdr:row>
      <xdr:rowOff>103400</xdr:rowOff>
    </xdr:from>
    <xdr:to>
      <xdr:col>15</xdr:col>
      <xdr:colOff>506296</xdr:colOff>
      <xdr:row>20</xdr:row>
      <xdr:rowOff>91732</xdr:rowOff>
    </xdr:to>
    <xdr:sp macro="" textlink="">
      <xdr:nvSpPr>
        <xdr:cNvPr id="26" name="TextBox 57">
          <a:extLst>
            <a:ext uri="{FF2B5EF4-FFF2-40B4-BE49-F238E27FC236}">
              <a16:creationId xmlns:a16="http://schemas.microsoft.com/office/drawing/2014/main" id="{CFD18582-8993-9E48-B795-2738593BD861}"/>
            </a:ext>
          </a:extLst>
        </xdr:cNvPr>
        <xdr:cNvSpPr txBox="1"/>
      </xdr:nvSpPr>
      <xdr:spPr>
        <a:xfrm>
          <a:off x="10856018" y="3532400"/>
          <a:ext cx="4198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14</a:t>
          </a:r>
        </a:p>
      </xdr:txBody>
    </xdr:sp>
    <xdr:clientData/>
  </xdr:twoCellAnchor>
  <xdr:twoCellAnchor>
    <xdr:from>
      <xdr:col>16</xdr:col>
      <xdr:colOff>466427</xdr:colOff>
      <xdr:row>21</xdr:row>
      <xdr:rowOff>105141</xdr:rowOff>
    </xdr:from>
    <xdr:to>
      <xdr:col>17</xdr:col>
      <xdr:colOff>276705</xdr:colOff>
      <xdr:row>23</xdr:row>
      <xdr:rowOff>93473</xdr:rowOff>
    </xdr:to>
    <xdr:sp macro="" textlink="">
      <xdr:nvSpPr>
        <xdr:cNvPr id="27" name="TextBox 58">
          <a:extLst>
            <a:ext uri="{FF2B5EF4-FFF2-40B4-BE49-F238E27FC236}">
              <a16:creationId xmlns:a16="http://schemas.microsoft.com/office/drawing/2014/main" id="{792DB736-B6DF-3649-89D9-3ED2BCC5497A}"/>
            </a:ext>
          </a:extLst>
        </xdr:cNvPr>
        <xdr:cNvSpPr txBox="1"/>
      </xdr:nvSpPr>
      <xdr:spPr>
        <a:xfrm>
          <a:off x="11909127" y="4105641"/>
          <a:ext cx="4833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19</a:t>
          </a:r>
        </a:p>
      </xdr:txBody>
    </xdr:sp>
    <xdr:clientData/>
  </xdr:twoCellAnchor>
  <xdr:twoCellAnchor>
    <xdr:from>
      <xdr:col>13</xdr:col>
      <xdr:colOff>536106</xdr:colOff>
      <xdr:row>14</xdr:row>
      <xdr:rowOff>132581</xdr:rowOff>
    </xdr:from>
    <xdr:to>
      <xdr:col>14</xdr:col>
      <xdr:colOff>346384</xdr:colOff>
      <xdr:row>16</xdr:row>
      <xdr:rowOff>120913</xdr:rowOff>
    </xdr:to>
    <xdr:sp macro="" textlink="">
      <xdr:nvSpPr>
        <xdr:cNvPr id="28" name="TextBox 59">
          <a:extLst>
            <a:ext uri="{FF2B5EF4-FFF2-40B4-BE49-F238E27FC236}">
              <a16:creationId xmlns:a16="http://schemas.microsoft.com/office/drawing/2014/main" id="{087F677F-BFF2-5144-9ECA-87BE88CF7F90}"/>
            </a:ext>
          </a:extLst>
        </xdr:cNvPr>
        <xdr:cNvSpPr txBox="1"/>
      </xdr:nvSpPr>
      <xdr:spPr>
        <a:xfrm>
          <a:off x="9959506" y="2799581"/>
          <a:ext cx="4833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25</a:t>
          </a:r>
        </a:p>
      </xdr:txBody>
    </xdr:sp>
    <xdr:clientData/>
  </xdr:twoCellAnchor>
  <xdr:twoCellAnchor>
    <xdr:from>
      <xdr:col>13</xdr:col>
      <xdr:colOff>375664</xdr:colOff>
      <xdr:row>30</xdr:row>
      <xdr:rowOff>5585</xdr:rowOff>
    </xdr:from>
    <xdr:to>
      <xdr:col>14</xdr:col>
      <xdr:colOff>185942</xdr:colOff>
      <xdr:row>31</xdr:row>
      <xdr:rowOff>184417</xdr:rowOff>
    </xdr:to>
    <xdr:sp macro="" textlink="">
      <xdr:nvSpPr>
        <xdr:cNvPr id="29" name="TextBox 60">
          <a:extLst>
            <a:ext uri="{FF2B5EF4-FFF2-40B4-BE49-F238E27FC236}">
              <a16:creationId xmlns:a16="http://schemas.microsoft.com/office/drawing/2014/main" id="{4D829F26-2258-574F-81E4-8155E66C4720}"/>
            </a:ext>
          </a:extLst>
        </xdr:cNvPr>
        <xdr:cNvSpPr txBox="1"/>
      </xdr:nvSpPr>
      <xdr:spPr>
        <a:xfrm>
          <a:off x="9799064" y="5720585"/>
          <a:ext cx="4833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22</a:t>
          </a:r>
        </a:p>
      </xdr:txBody>
    </xdr:sp>
    <xdr:clientData/>
  </xdr:twoCellAnchor>
  <xdr:twoCellAnchor>
    <xdr:from>
      <xdr:col>17</xdr:col>
      <xdr:colOff>424138</xdr:colOff>
      <xdr:row>24</xdr:row>
      <xdr:rowOff>55889</xdr:rowOff>
    </xdr:from>
    <xdr:to>
      <xdr:col>18</xdr:col>
      <xdr:colOff>234416</xdr:colOff>
      <xdr:row>26</xdr:row>
      <xdr:rowOff>44221</xdr:rowOff>
    </xdr:to>
    <xdr:sp macro="" textlink="">
      <xdr:nvSpPr>
        <xdr:cNvPr id="30" name="TextBox 61">
          <a:extLst>
            <a:ext uri="{FF2B5EF4-FFF2-40B4-BE49-F238E27FC236}">
              <a16:creationId xmlns:a16="http://schemas.microsoft.com/office/drawing/2014/main" id="{57B7C351-47BA-EC49-915E-E46E3D064875}"/>
            </a:ext>
          </a:extLst>
        </xdr:cNvPr>
        <xdr:cNvSpPr txBox="1"/>
      </xdr:nvSpPr>
      <xdr:spPr>
        <a:xfrm>
          <a:off x="12539938" y="4627889"/>
          <a:ext cx="4833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14</a:t>
          </a:r>
        </a:p>
      </xdr:txBody>
    </xdr:sp>
    <xdr:clientData/>
  </xdr:twoCellAnchor>
  <xdr:twoCellAnchor>
    <xdr:from>
      <xdr:col>12</xdr:col>
      <xdr:colOff>272040</xdr:colOff>
      <xdr:row>18</xdr:row>
      <xdr:rowOff>121572</xdr:rowOff>
    </xdr:from>
    <xdr:to>
      <xdr:col>13</xdr:col>
      <xdr:colOff>82318</xdr:colOff>
      <xdr:row>20</xdr:row>
      <xdr:rowOff>109904</xdr:rowOff>
    </xdr:to>
    <xdr:sp macro="" textlink="">
      <xdr:nvSpPr>
        <xdr:cNvPr id="31" name="TextBox 44">
          <a:extLst>
            <a:ext uri="{FF2B5EF4-FFF2-40B4-BE49-F238E27FC236}">
              <a16:creationId xmlns:a16="http://schemas.microsoft.com/office/drawing/2014/main" id="{9E9185E7-2BAD-5848-BCCB-7FF8F348B0B6}"/>
            </a:ext>
          </a:extLst>
        </xdr:cNvPr>
        <xdr:cNvSpPr txBox="1"/>
      </xdr:nvSpPr>
      <xdr:spPr>
        <a:xfrm>
          <a:off x="9022340" y="3550572"/>
          <a:ext cx="4833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12</a:t>
          </a:r>
        </a:p>
      </xdr:txBody>
    </xdr:sp>
    <xdr:clientData/>
  </xdr:twoCellAnchor>
  <xdr:twoCellAnchor>
    <xdr:from>
      <xdr:col>15</xdr:col>
      <xdr:colOff>429120</xdr:colOff>
      <xdr:row>25</xdr:row>
      <xdr:rowOff>66673</xdr:rowOff>
    </xdr:from>
    <xdr:to>
      <xdr:col>16</xdr:col>
      <xdr:colOff>239398</xdr:colOff>
      <xdr:row>27</xdr:row>
      <xdr:rowOff>55005</xdr:rowOff>
    </xdr:to>
    <xdr:sp macro="" textlink="">
      <xdr:nvSpPr>
        <xdr:cNvPr id="32" name="TextBox 31">
          <a:extLst>
            <a:ext uri="{FF2B5EF4-FFF2-40B4-BE49-F238E27FC236}">
              <a16:creationId xmlns:a16="http://schemas.microsoft.com/office/drawing/2014/main" id="{8BF824BF-4313-BD46-A394-35ACA3B6F33A}"/>
            </a:ext>
          </a:extLst>
        </xdr:cNvPr>
        <xdr:cNvSpPr txBox="1"/>
      </xdr:nvSpPr>
      <xdr:spPr>
        <a:xfrm>
          <a:off x="11198720" y="4829173"/>
          <a:ext cx="4833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17</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F59F0-8880-4A01-97A6-29CFC86513C4}">
  <dimension ref="D1:T43"/>
  <sheetViews>
    <sheetView topLeftCell="B10" workbookViewId="0">
      <selection activeCell="O37" sqref="O37"/>
    </sheetView>
  </sheetViews>
  <sheetFormatPr baseColWidth="10" defaultColWidth="8.83203125" defaultRowHeight="15" x14ac:dyDescent="0.2"/>
  <cols>
    <col min="4" max="4" width="27.6640625" customWidth="1"/>
    <col min="5" max="5" width="15.5" customWidth="1"/>
    <col min="11" max="12" width="12.5" customWidth="1"/>
    <col min="15" max="15" width="10.83203125" customWidth="1"/>
  </cols>
  <sheetData>
    <row r="1" spans="4:20" ht="16" thickBot="1" x14ac:dyDescent="0.25"/>
    <row r="2" spans="4:20" ht="76.5" customHeight="1" thickBot="1" x14ac:dyDescent="0.3">
      <c r="D2" s="23" t="s">
        <v>1</v>
      </c>
      <c r="E2" s="24"/>
      <c r="F2" s="24"/>
      <c r="G2" s="24"/>
      <c r="H2" s="24"/>
      <c r="I2" s="24"/>
      <c r="J2" s="24"/>
      <c r="K2" s="24"/>
      <c r="L2" s="24"/>
      <c r="M2" s="24"/>
      <c r="N2" s="24"/>
      <c r="O2" s="24"/>
      <c r="P2" s="24"/>
      <c r="Q2" s="24"/>
      <c r="R2" s="24"/>
      <c r="S2" s="24"/>
      <c r="T2" s="25"/>
    </row>
    <row r="26" spans="4:14" x14ac:dyDescent="0.2">
      <c r="D26" t="s">
        <v>0</v>
      </c>
    </row>
    <row r="28" spans="4:14" x14ac:dyDescent="0.2">
      <c r="E28" s="4" t="s">
        <v>18</v>
      </c>
    </row>
    <row r="29" spans="4:14" x14ac:dyDescent="0.2">
      <c r="D29" t="s">
        <v>19</v>
      </c>
      <c r="E29">
        <v>1</v>
      </c>
      <c r="F29">
        <v>2</v>
      </c>
      <c r="G29">
        <v>3</v>
      </c>
      <c r="H29">
        <v>4</v>
      </c>
      <c r="I29">
        <v>5</v>
      </c>
      <c r="J29">
        <v>6</v>
      </c>
      <c r="K29">
        <v>7</v>
      </c>
      <c r="L29">
        <v>8</v>
      </c>
      <c r="M29">
        <v>9</v>
      </c>
      <c r="N29">
        <v>10</v>
      </c>
    </row>
    <row r="30" spans="4:14" x14ac:dyDescent="0.2">
      <c r="D30" t="s">
        <v>23</v>
      </c>
      <c r="E30">
        <v>0</v>
      </c>
      <c r="F30">
        <v>1</v>
      </c>
      <c r="G30">
        <v>1</v>
      </c>
      <c r="H30">
        <v>0</v>
      </c>
      <c r="I30">
        <v>1</v>
      </c>
      <c r="J30">
        <v>0</v>
      </c>
      <c r="K30">
        <v>0</v>
      </c>
      <c r="L30">
        <v>1</v>
      </c>
      <c r="M30">
        <v>1</v>
      </c>
      <c r="N30">
        <v>0</v>
      </c>
    </row>
    <row r="31" spans="4:14" x14ac:dyDescent="0.2">
      <c r="D31" s="4" t="s">
        <v>20</v>
      </c>
      <c r="E31" s="3">
        <v>127</v>
      </c>
      <c r="F31" s="3">
        <v>83</v>
      </c>
      <c r="G31" s="3">
        <v>165</v>
      </c>
      <c r="H31" s="3">
        <v>96</v>
      </c>
      <c r="I31" s="3">
        <v>112</v>
      </c>
      <c r="J31" s="3">
        <v>88</v>
      </c>
      <c r="K31" s="3">
        <v>135</v>
      </c>
      <c r="L31" s="3">
        <v>141</v>
      </c>
      <c r="M31" s="3">
        <v>117</v>
      </c>
      <c r="N31" s="3">
        <v>94</v>
      </c>
    </row>
    <row r="32" spans="4:14" x14ac:dyDescent="0.2">
      <c r="E32" s="8">
        <f>SUMPRODUCT(E30:N30,E31:N31)</f>
        <v>618</v>
      </c>
    </row>
    <row r="34" spans="4:20" x14ac:dyDescent="0.2">
      <c r="D34" t="s">
        <v>22</v>
      </c>
      <c r="E34" s="4" t="s">
        <v>21</v>
      </c>
    </row>
    <row r="35" spans="4:20" x14ac:dyDescent="0.2">
      <c r="D35" t="s">
        <v>24</v>
      </c>
      <c r="E35">
        <f>E31+G31</f>
        <v>292</v>
      </c>
      <c r="F35" t="s">
        <v>10</v>
      </c>
      <c r="G35">
        <v>1</v>
      </c>
    </row>
    <row r="36" spans="4:20" x14ac:dyDescent="0.2">
      <c r="E36">
        <v>1</v>
      </c>
      <c r="F36">
        <v>2</v>
      </c>
      <c r="G36">
        <v>3</v>
      </c>
      <c r="H36">
        <v>4</v>
      </c>
      <c r="I36">
        <v>5</v>
      </c>
      <c r="J36">
        <v>6</v>
      </c>
      <c r="K36">
        <v>7</v>
      </c>
      <c r="L36">
        <v>8</v>
      </c>
      <c r="M36">
        <v>9</v>
      </c>
      <c r="N36">
        <v>10</v>
      </c>
      <c r="O36" t="s">
        <v>21</v>
      </c>
    </row>
    <row r="37" spans="4:20" ht="29" customHeight="1" x14ac:dyDescent="0.2">
      <c r="D37" s="6" t="s">
        <v>37</v>
      </c>
      <c r="E37" s="1">
        <v>1</v>
      </c>
      <c r="F37" s="1">
        <v>0</v>
      </c>
      <c r="G37" s="1">
        <v>1</v>
      </c>
      <c r="H37" s="1">
        <v>0</v>
      </c>
      <c r="I37" s="1">
        <v>0</v>
      </c>
      <c r="J37" s="1">
        <v>0</v>
      </c>
      <c r="K37" s="1">
        <v>0</v>
      </c>
      <c r="L37" s="1">
        <v>0</v>
      </c>
      <c r="M37" s="1">
        <v>0</v>
      </c>
      <c r="N37" s="1">
        <v>0</v>
      </c>
      <c r="O37">
        <f>SUMPRODUCT(E37:N37,$E$30:$N$30)</f>
        <v>1</v>
      </c>
      <c r="P37" t="s">
        <v>10</v>
      </c>
      <c r="Q37">
        <v>1</v>
      </c>
      <c r="R37" t="s">
        <v>27</v>
      </c>
      <c r="S37" t="s">
        <v>10</v>
      </c>
      <c r="T37">
        <v>1</v>
      </c>
    </row>
    <row r="38" spans="4:20" x14ac:dyDescent="0.2">
      <c r="D38" t="s">
        <v>38</v>
      </c>
      <c r="E38" s="1">
        <v>1</v>
      </c>
      <c r="F38" s="1">
        <v>1</v>
      </c>
      <c r="G38" s="1">
        <v>0</v>
      </c>
      <c r="H38" s="1">
        <v>1</v>
      </c>
      <c r="I38" s="1">
        <v>0</v>
      </c>
      <c r="J38" s="1">
        <v>0</v>
      </c>
      <c r="K38" s="1">
        <v>0</v>
      </c>
      <c r="L38" s="1">
        <v>0</v>
      </c>
      <c r="M38" s="1">
        <v>0</v>
      </c>
      <c r="N38" s="1">
        <v>0</v>
      </c>
      <c r="O38">
        <f t="shared" ref="O38:O43" si="0">SUMPRODUCT(E38:N38,$E$30:$N$30)</f>
        <v>1</v>
      </c>
      <c r="P38" t="s">
        <v>10</v>
      </c>
      <c r="Q38">
        <v>1</v>
      </c>
      <c r="R38" t="s">
        <v>28</v>
      </c>
      <c r="S38" t="s">
        <v>10</v>
      </c>
      <c r="T38">
        <v>1</v>
      </c>
    </row>
    <row r="39" spans="4:20" x14ac:dyDescent="0.2">
      <c r="D39" t="s">
        <v>25</v>
      </c>
      <c r="E39" s="1">
        <v>0</v>
      </c>
      <c r="F39" s="1">
        <v>0</v>
      </c>
      <c r="G39" s="1">
        <v>0</v>
      </c>
      <c r="H39" s="1">
        <v>1</v>
      </c>
      <c r="I39" s="1">
        <v>1</v>
      </c>
      <c r="J39" s="1">
        <v>1</v>
      </c>
      <c r="K39" s="1">
        <v>0</v>
      </c>
      <c r="L39" s="1">
        <v>0</v>
      </c>
      <c r="M39" s="1">
        <v>0</v>
      </c>
      <c r="N39" s="1">
        <v>0</v>
      </c>
      <c r="O39">
        <f t="shared" si="0"/>
        <v>1</v>
      </c>
      <c r="P39" t="s">
        <v>10</v>
      </c>
      <c r="Q39">
        <v>1</v>
      </c>
      <c r="R39" t="s">
        <v>26</v>
      </c>
      <c r="S39" t="s">
        <v>10</v>
      </c>
      <c r="T39">
        <v>1</v>
      </c>
    </row>
    <row r="40" spans="4:20" x14ac:dyDescent="0.2">
      <c r="D40" t="s">
        <v>29</v>
      </c>
      <c r="E40" s="1">
        <v>0</v>
      </c>
      <c r="F40" s="1">
        <v>0</v>
      </c>
      <c r="G40" s="1">
        <v>0</v>
      </c>
      <c r="H40" s="1">
        <v>0</v>
      </c>
      <c r="I40" s="1">
        <v>0</v>
      </c>
      <c r="J40" s="1">
        <v>1</v>
      </c>
      <c r="K40" s="1">
        <v>0</v>
      </c>
      <c r="L40" s="1">
        <v>0</v>
      </c>
      <c r="M40" s="1">
        <v>1</v>
      </c>
      <c r="N40" s="1">
        <v>0</v>
      </c>
      <c r="O40">
        <f t="shared" si="0"/>
        <v>1</v>
      </c>
      <c r="P40" t="s">
        <v>10</v>
      </c>
      <c r="Q40">
        <v>1</v>
      </c>
      <c r="R40" t="s">
        <v>33</v>
      </c>
      <c r="S40" t="s">
        <v>10</v>
      </c>
      <c r="T40">
        <v>1</v>
      </c>
    </row>
    <row r="41" spans="4:20" x14ac:dyDescent="0.2">
      <c r="D41" t="s">
        <v>30</v>
      </c>
      <c r="E41" s="1">
        <v>0</v>
      </c>
      <c r="F41" s="1">
        <v>0</v>
      </c>
      <c r="G41" s="1">
        <v>0</v>
      </c>
      <c r="H41" s="1">
        <v>0</v>
      </c>
      <c r="I41" s="1">
        <v>0</v>
      </c>
      <c r="J41" s="1">
        <v>1</v>
      </c>
      <c r="K41" s="1">
        <v>1</v>
      </c>
      <c r="L41" s="1">
        <v>1</v>
      </c>
      <c r="M41" s="1">
        <v>0</v>
      </c>
      <c r="N41" s="1">
        <v>0</v>
      </c>
      <c r="O41">
        <f t="shared" si="0"/>
        <v>1</v>
      </c>
      <c r="P41" t="s">
        <v>10</v>
      </c>
      <c r="Q41">
        <v>1</v>
      </c>
      <c r="R41" t="s">
        <v>34</v>
      </c>
      <c r="S41" t="s">
        <v>10</v>
      </c>
      <c r="T41">
        <v>1</v>
      </c>
    </row>
    <row r="42" spans="4:20" x14ac:dyDescent="0.2">
      <c r="D42" t="s">
        <v>31</v>
      </c>
      <c r="E42" s="1">
        <v>0</v>
      </c>
      <c r="F42" s="1">
        <v>0</v>
      </c>
      <c r="G42" s="1">
        <v>0</v>
      </c>
      <c r="H42" s="1">
        <v>0</v>
      </c>
      <c r="I42" s="1">
        <v>0</v>
      </c>
      <c r="J42" s="1">
        <v>0</v>
      </c>
      <c r="K42" s="1">
        <v>0</v>
      </c>
      <c r="L42" s="1">
        <v>1</v>
      </c>
      <c r="M42" s="1">
        <v>0</v>
      </c>
      <c r="N42" s="1">
        <v>1</v>
      </c>
      <c r="O42">
        <f t="shared" si="0"/>
        <v>1</v>
      </c>
      <c r="P42" t="s">
        <v>10</v>
      </c>
      <c r="Q42">
        <v>1</v>
      </c>
      <c r="R42" t="s">
        <v>35</v>
      </c>
      <c r="S42" t="s">
        <v>10</v>
      </c>
      <c r="T42">
        <v>1</v>
      </c>
    </row>
    <row r="43" spans="4:20" x14ac:dyDescent="0.2">
      <c r="D43" t="s">
        <v>32</v>
      </c>
      <c r="E43" s="1">
        <v>0</v>
      </c>
      <c r="F43" s="1">
        <v>0</v>
      </c>
      <c r="G43" s="1">
        <v>0</v>
      </c>
      <c r="H43" s="1">
        <v>0</v>
      </c>
      <c r="I43" s="1">
        <v>0</v>
      </c>
      <c r="J43" s="1">
        <v>0</v>
      </c>
      <c r="K43" s="1">
        <v>0</v>
      </c>
      <c r="L43" s="1">
        <v>0</v>
      </c>
      <c r="M43" s="1">
        <v>1</v>
      </c>
      <c r="N43" s="1">
        <v>1</v>
      </c>
      <c r="O43">
        <f t="shared" si="0"/>
        <v>1</v>
      </c>
      <c r="P43" t="s">
        <v>10</v>
      </c>
      <c r="Q43">
        <v>1</v>
      </c>
      <c r="R43" t="s">
        <v>36</v>
      </c>
      <c r="S43" t="s">
        <v>10</v>
      </c>
      <c r="T43">
        <v>1</v>
      </c>
    </row>
  </sheetData>
  <mergeCells count="1">
    <mergeCell ref="D2:T2"/>
  </mergeCells>
  <phoneticPr fontId="4"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84FA6-3135-43D8-8BD1-EB2AD0066BE2}">
  <dimension ref="A2:T36"/>
  <sheetViews>
    <sheetView topLeftCell="A5" workbookViewId="0">
      <selection activeCell="L26" sqref="L26"/>
    </sheetView>
  </sheetViews>
  <sheetFormatPr baseColWidth="10" defaultColWidth="8.83203125" defaultRowHeight="15" x14ac:dyDescent="0.2"/>
  <cols>
    <col min="1" max="1" width="11.6640625" customWidth="1"/>
    <col min="2" max="2" width="21.6640625" customWidth="1"/>
    <col min="3" max="3" width="14" customWidth="1"/>
    <col min="4" max="4" width="17.83203125" customWidth="1"/>
    <col min="5" max="5" width="12" customWidth="1"/>
  </cols>
  <sheetData>
    <row r="2" spans="4:20" ht="16" thickBot="1" x14ac:dyDescent="0.25"/>
    <row r="3" spans="4:20" ht="66.75" customHeight="1" thickBot="1" x14ac:dyDescent="0.3">
      <c r="E3" s="23" t="s">
        <v>2</v>
      </c>
      <c r="F3" s="24"/>
      <c r="G3" s="24"/>
      <c r="H3" s="24"/>
      <c r="I3" s="24"/>
      <c r="J3" s="24"/>
      <c r="K3" s="24"/>
      <c r="L3" s="24"/>
      <c r="M3" s="24"/>
      <c r="N3" s="24"/>
      <c r="O3" s="24"/>
      <c r="P3" s="24"/>
      <c r="Q3" s="24"/>
      <c r="R3" s="24"/>
      <c r="S3" s="24"/>
      <c r="T3" s="25"/>
    </row>
    <row r="5" spans="4:20" ht="16" thickBot="1" x14ac:dyDescent="0.25"/>
    <row r="6" spans="4:20" ht="27" thickBot="1" x14ac:dyDescent="0.25">
      <c r="F6" s="26">
        <v>1</v>
      </c>
      <c r="G6" s="27"/>
      <c r="H6" s="10">
        <v>2</v>
      </c>
      <c r="I6" s="28">
        <v>3</v>
      </c>
      <c r="J6" s="28"/>
      <c r="L6" s="37"/>
      <c r="M6" s="38"/>
      <c r="N6" s="12"/>
      <c r="O6" s="39"/>
      <c r="P6" s="40"/>
    </row>
    <row r="7" spans="4:20" x14ac:dyDescent="0.2">
      <c r="D7" s="48" t="s">
        <v>60</v>
      </c>
      <c r="E7" s="49"/>
      <c r="F7" s="29">
        <v>4</v>
      </c>
      <c r="G7" s="29">
        <v>5</v>
      </c>
      <c r="H7" s="32"/>
      <c r="I7" s="28">
        <v>6</v>
      </c>
      <c r="J7" s="28">
        <v>7</v>
      </c>
      <c r="L7" s="41"/>
      <c r="M7" s="44"/>
      <c r="N7" s="45"/>
      <c r="O7" s="54"/>
      <c r="P7" s="55"/>
    </row>
    <row r="8" spans="4:20" ht="16" thickBot="1" x14ac:dyDescent="0.25">
      <c r="F8" s="30"/>
      <c r="G8" s="31"/>
      <c r="H8" s="33"/>
      <c r="I8" s="28"/>
      <c r="J8" s="28"/>
      <c r="L8" s="42"/>
      <c r="M8" s="46"/>
      <c r="N8" s="47"/>
      <c r="O8" s="54"/>
      <c r="P8" s="56"/>
    </row>
    <row r="9" spans="4:20" ht="16" thickBot="1" x14ac:dyDescent="0.25">
      <c r="F9" s="31"/>
      <c r="G9" s="32">
        <v>4</v>
      </c>
      <c r="H9" s="35">
        <v>8</v>
      </c>
      <c r="I9" s="28">
        <v>9</v>
      </c>
      <c r="J9" s="28"/>
      <c r="L9" s="43"/>
      <c r="M9" s="41"/>
      <c r="N9" s="59"/>
      <c r="O9" s="54"/>
      <c r="P9" s="57"/>
    </row>
    <row r="10" spans="4:20" x14ac:dyDescent="0.2">
      <c r="F10" s="35">
        <v>10</v>
      </c>
      <c r="G10" s="34"/>
      <c r="H10" s="36"/>
      <c r="I10" s="28"/>
      <c r="J10" s="28">
        <v>13</v>
      </c>
      <c r="L10" s="50"/>
      <c r="M10" s="42"/>
      <c r="N10" s="47"/>
      <c r="O10" s="53"/>
      <c r="P10" s="52"/>
    </row>
    <row r="11" spans="4:20" ht="27" thickBot="1" x14ac:dyDescent="0.25">
      <c r="F11" s="60"/>
      <c r="G11" s="33"/>
      <c r="H11" s="10">
        <v>11</v>
      </c>
      <c r="I11" s="10">
        <v>12</v>
      </c>
      <c r="J11" s="28"/>
      <c r="L11" s="50"/>
      <c r="M11" s="58"/>
      <c r="N11" s="17"/>
      <c r="O11" s="15"/>
      <c r="P11" s="53"/>
    </row>
    <row r="12" spans="4:20" ht="27" thickBot="1" x14ac:dyDescent="0.25">
      <c r="F12" s="31"/>
      <c r="G12" s="11">
        <v>10</v>
      </c>
      <c r="H12" s="10">
        <v>14</v>
      </c>
      <c r="I12" s="10">
        <v>15</v>
      </c>
      <c r="J12" s="10">
        <v>16</v>
      </c>
      <c r="L12" s="51"/>
      <c r="M12" s="18"/>
      <c r="N12" s="13"/>
      <c r="O12" s="16"/>
      <c r="P12" s="14"/>
    </row>
    <row r="17" spans="1:19" x14ac:dyDescent="0.2">
      <c r="B17" t="s">
        <v>40</v>
      </c>
      <c r="D17">
        <v>1</v>
      </c>
      <c r="E17">
        <v>2</v>
      </c>
      <c r="F17">
        <v>3</v>
      </c>
      <c r="G17">
        <v>4</v>
      </c>
      <c r="H17">
        <v>5</v>
      </c>
      <c r="I17">
        <v>6</v>
      </c>
      <c r="J17">
        <v>7</v>
      </c>
      <c r="K17">
        <v>8</v>
      </c>
      <c r="L17">
        <v>9</v>
      </c>
      <c r="M17">
        <v>10</v>
      </c>
      <c r="N17">
        <v>11</v>
      </c>
      <c r="O17">
        <v>12</v>
      </c>
      <c r="P17">
        <v>13</v>
      </c>
      <c r="Q17">
        <v>14</v>
      </c>
      <c r="R17">
        <v>15</v>
      </c>
      <c r="S17">
        <v>16</v>
      </c>
    </row>
    <row r="18" spans="1:19" x14ac:dyDescent="0.2">
      <c r="B18" t="s">
        <v>41</v>
      </c>
      <c r="C18" s="9">
        <v>0</v>
      </c>
      <c r="D18" s="9">
        <v>0</v>
      </c>
      <c r="E18" s="9">
        <v>1</v>
      </c>
      <c r="F18" s="9">
        <v>1</v>
      </c>
      <c r="G18" s="9">
        <v>0</v>
      </c>
      <c r="H18" s="9">
        <v>0</v>
      </c>
      <c r="I18" s="9">
        <v>0</v>
      </c>
      <c r="J18" s="9">
        <v>0</v>
      </c>
      <c r="K18" s="9">
        <v>0</v>
      </c>
      <c r="L18" s="9">
        <v>0</v>
      </c>
      <c r="M18" s="9">
        <v>0</v>
      </c>
      <c r="N18" s="9">
        <v>1</v>
      </c>
      <c r="O18" s="9">
        <v>0</v>
      </c>
      <c r="P18" s="9">
        <v>0</v>
      </c>
      <c r="Q18" s="9">
        <v>1</v>
      </c>
      <c r="R18" s="9">
        <v>0</v>
      </c>
    </row>
    <row r="19" spans="1:19" x14ac:dyDescent="0.2">
      <c r="B19" t="s">
        <v>42</v>
      </c>
      <c r="C19">
        <f>SUM(C21:C36)</f>
        <v>4</v>
      </c>
    </row>
    <row r="20" spans="1:19" x14ac:dyDescent="0.2">
      <c r="E20" s="1" t="s">
        <v>58</v>
      </c>
    </row>
    <row r="21" spans="1:19" ht="15" customHeight="1" x14ac:dyDescent="0.2">
      <c r="A21" t="s">
        <v>43</v>
      </c>
      <c r="B21">
        <v>1</v>
      </c>
      <c r="C21">
        <v>0</v>
      </c>
      <c r="D21" t="s">
        <v>59</v>
      </c>
      <c r="E21" s="1">
        <f>C21+C22+C24+C25</f>
        <v>2</v>
      </c>
      <c r="F21" t="s">
        <v>57</v>
      </c>
      <c r="G21">
        <v>1</v>
      </c>
    </row>
    <row r="22" spans="1:19" ht="15" customHeight="1" x14ac:dyDescent="0.2">
      <c r="B22">
        <v>2</v>
      </c>
      <c r="C22">
        <v>1</v>
      </c>
      <c r="D22" t="s">
        <v>44</v>
      </c>
      <c r="E22" s="1">
        <f>C22+C21+C23+C25</f>
        <v>1</v>
      </c>
      <c r="F22" t="s">
        <v>57</v>
      </c>
      <c r="G22">
        <v>1</v>
      </c>
    </row>
    <row r="23" spans="1:19" ht="15" customHeight="1" x14ac:dyDescent="0.2">
      <c r="B23">
        <v>3</v>
      </c>
      <c r="C23">
        <v>0</v>
      </c>
      <c r="D23" t="s">
        <v>39</v>
      </c>
      <c r="E23" s="1">
        <f>C23+C22+C26+C27</f>
        <v>2</v>
      </c>
      <c r="F23" t="s">
        <v>57</v>
      </c>
      <c r="G23">
        <v>1</v>
      </c>
    </row>
    <row r="24" spans="1:19" ht="15" customHeight="1" x14ac:dyDescent="0.2">
      <c r="B24">
        <v>4</v>
      </c>
      <c r="C24">
        <v>1</v>
      </c>
      <c r="D24" t="s">
        <v>45</v>
      </c>
      <c r="E24" s="1">
        <f>C24+C30+C21+C25+C28+C31</f>
        <v>1</v>
      </c>
      <c r="F24" t="s">
        <v>57</v>
      </c>
      <c r="G24">
        <v>1</v>
      </c>
    </row>
    <row r="25" spans="1:19" ht="15" customHeight="1" x14ac:dyDescent="0.2">
      <c r="B25">
        <v>5</v>
      </c>
      <c r="C25">
        <v>0</v>
      </c>
      <c r="D25" t="s">
        <v>46</v>
      </c>
      <c r="E25" s="1">
        <f>C25+C24+C28+C21+C22+C29+C26</f>
        <v>2</v>
      </c>
      <c r="F25" t="s">
        <v>57</v>
      </c>
      <c r="G25">
        <v>1</v>
      </c>
    </row>
    <row r="26" spans="1:19" x14ac:dyDescent="0.2">
      <c r="B26">
        <v>6</v>
      </c>
      <c r="C26">
        <v>0</v>
      </c>
      <c r="D26" t="s">
        <v>47</v>
      </c>
      <c r="E26" s="1">
        <f>C26+C23+C29+C25+C28+C27</f>
        <v>1</v>
      </c>
      <c r="F26" t="s">
        <v>57</v>
      </c>
      <c r="G26">
        <v>1</v>
      </c>
      <c r="L26" t="s">
        <v>62</v>
      </c>
    </row>
    <row r="27" spans="1:19" x14ac:dyDescent="0.2">
      <c r="B27">
        <v>7</v>
      </c>
      <c r="C27">
        <v>1</v>
      </c>
      <c r="D27" t="s">
        <v>48</v>
      </c>
      <c r="E27" s="1">
        <f>C27+C33+C26+C23</f>
        <v>1</v>
      </c>
      <c r="F27" t="s">
        <v>57</v>
      </c>
      <c r="G27">
        <v>1</v>
      </c>
    </row>
    <row r="28" spans="1:19" x14ac:dyDescent="0.2">
      <c r="B28">
        <v>8</v>
      </c>
      <c r="C28">
        <v>0</v>
      </c>
      <c r="D28" t="s">
        <v>49</v>
      </c>
      <c r="E28" s="1">
        <f>C28+C31+C29+C24+C25</f>
        <v>1</v>
      </c>
      <c r="F28" t="s">
        <v>57</v>
      </c>
      <c r="G28">
        <v>1</v>
      </c>
    </row>
    <row r="29" spans="1:19" x14ac:dyDescent="0.2">
      <c r="B29">
        <v>9</v>
      </c>
      <c r="C29">
        <v>0</v>
      </c>
      <c r="D29" t="s">
        <v>50</v>
      </c>
      <c r="E29" s="1">
        <f>C29+C28+C26+C32+C27+C33</f>
        <v>1</v>
      </c>
      <c r="F29" t="s">
        <v>57</v>
      </c>
      <c r="G29">
        <v>1</v>
      </c>
    </row>
    <row r="30" spans="1:19" x14ac:dyDescent="0.2">
      <c r="B30">
        <v>10</v>
      </c>
      <c r="C30">
        <v>0</v>
      </c>
      <c r="D30" t="s">
        <v>61</v>
      </c>
      <c r="E30" s="1">
        <f>C30+C24+C34</f>
        <v>1</v>
      </c>
      <c r="F30" t="s">
        <v>57</v>
      </c>
      <c r="G30">
        <v>1</v>
      </c>
    </row>
    <row r="31" spans="1:19" x14ac:dyDescent="0.2">
      <c r="B31">
        <v>11</v>
      </c>
      <c r="C31">
        <v>0</v>
      </c>
      <c r="D31" t="s">
        <v>51</v>
      </c>
      <c r="E31" s="1">
        <f>C31+C28+C34+C32+C24</f>
        <v>1</v>
      </c>
      <c r="F31" t="s">
        <v>57</v>
      </c>
      <c r="G31">
        <v>1</v>
      </c>
    </row>
    <row r="32" spans="1:19" x14ac:dyDescent="0.2">
      <c r="B32">
        <v>12</v>
      </c>
      <c r="C32">
        <v>0</v>
      </c>
      <c r="D32" t="s">
        <v>52</v>
      </c>
      <c r="E32" s="1">
        <f>C32+C29+C31+C33+C35</f>
        <v>1</v>
      </c>
      <c r="F32" t="s">
        <v>57</v>
      </c>
      <c r="G32">
        <v>1</v>
      </c>
    </row>
    <row r="33" spans="2:7" x14ac:dyDescent="0.2">
      <c r="B33">
        <v>13</v>
      </c>
      <c r="C33">
        <v>0</v>
      </c>
      <c r="D33" t="s">
        <v>53</v>
      </c>
      <c r="E33" s="1">
        <f>C33+C36+C27+C32</f>
        <v>1</v>
      </c>
      <c r="F33" t="s">
        <v>57</v>
      </c>
      <c r="G33">
        <v>1</v>
      </c>
    </row>
    <row r="34" spans="2:7" x14ac:dyDescent="0.2">
      <c r="B34">
        <v>14</v>
      </c>
      <c r="C34">
        <v>0</v>
      </c>
      <c r="D34" t="s">
        <v>54</v>
      </c>
      <c r="E34" s="1">
        <f>C34+C30+C31+C35</f>
        <v>1</v>
      </c>
      <c r="F34" t="s">
        <v>57</v>
      </c>
      <c r="G34">
        <v>1</v>
      </c>
    </row>
    <row r="35" spans="2:7" x14ac:dyDescent="0.2">
      <c r="B35">
        <v>15</v>
      </c>
      <c r="C35">
        <v>1</v>
      </c>
      <c r="D35" t="s">
        <v>56</v>
      </c>
      <c r="E35" s="1">
        <f>C35+C32+C34+C36</f>
        <v>1</v>
      </c>
      <c r="F35" t="s">
        <v>57</v>
      </c>
      <c r="G35">
        <v>1</v>
      </c>
    </row>
    <row r="36" spans="2:7" x14ac:dyDescent="0.2">
      <c r="B36">
        <v>16</v>
      </c>
      <c r="C36">
        <v>0</v>
      </c>
      <c r="D36" t="s">
        <v>55</v>
      </c>
      <c r="E36" s="1">
        <f>C36+C33+C35</f>
        <v>1</v>
      </c>
      <c r="F36" t="s">
        <v>57</v>
      </c>
      <c r="G36">
        <v>1</v>
      </c>
    </row>
  </sheetData>
  <mergeCells count="24">
    <mergeCell ref="F10:F12"/>
    <mergeCell ref="J10:J11"/>
    <mergeCell ref="P10:P11"/>
    <mergeCell ref="O7:O8"/>
    <mergeCell ref="P7:P9"/>
    <mergeCell ref="M9:M11"/>
    <mergeCell ref="N9:N10"/>
    <mergeCell ref="O9:O10"/>
    <mergeCell ref="E3:T3"/>
    <mergeCell ref="F6:G6"/>
    <mergeCell ref="I6:J6"/>
    <mergeCell ref="F7:F9"/>
    <mergeCell ref="G7:H8"/>
    <mergeCell ref="I7:I8"/>
    <mergeCell ref="J7:J9"/>
    <mergeCell ref="G9:G11"/>
    <mergeCell ref="H9:H10"/>
    <mergeCell ref="I9:I10"/>
    <mergeCell ref="L6:M6"/>
    <mergeCell ref="O6:P6"/>
    <mergeCell ref="L7:L9"/>
    <mergeCell ref="M7:N8"/>
    <mergeCell ref="D7:E7"/>
    <mergeCell ref="L10:L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A7FB-18FD-C04A-A4A4-A7EC5E371735}">
  <dimension ref="A1:S32"/>
  <sheetViews>
    <sheetView workbookViewId="0">
      <selection activeCell="P13" sqref="P13"/>
    </sheetView>
  </sheetViews>
  <sheetFormatPr baseColWidth="10" defaultColWidth="8.83203125" defaultRowHeight="15" x14ac:dyDescent="0.2"/>
  <cols>
    <col min="1" max="1" width="12.6640625" customWidth="1"/>
    <col min="2" max="2" width="10.5" customWidth="1"/>
    <col min="4" max="4" width="6.33203125" customWidth="1"/>
    <col min="5" max="5" width="5.6640625" customWidth="1"/>
    <col min="6" max="6" width="5" customWidth="1"/>
    <col min="7" max="7" width="31" customWidth="1"/>
    <col min="8" max="8" width="10.6640625" customWidth="1"/>
  </cols>
  <sheetData>
    <row r="1" spans="1:19" x14ac:dyDescent="0.2">
      <c r="A1" s="4" t="s">
        <v>63</v>
      </c>
    </row>
    <row r="2" spans="1:19" x14ac:dyDescent="0.2">
      <c r="A2" t="s">
        <v>64</v>
      </c>
      <c r="B2" t="s">
        <v>65</v>
      </c>
      <c r="E2" t="s">
        <v>21</v>
      </c>
      <c r="H2" s="1" t="s">
        <v>101</v>
      </c>
      <c r="I2" s="1" t="s">
        <v>99</v>
      </c>
      <c r="J2" s="1" t="s">
        <v>102</v>
      </c>
      <c r="K2" s="1" t="s">
        <v>110</v>
      </c>
      <c r="L2" s="1" t="s">
        <v>109</v>
      </c>
      <c r="M2" s="1" t="s">
        <v>98</v>
      </c>
      <c r="N2" s="1" t="s">
        <v>108</v>
      </c>
      <c r="O2" s="1" t="s">
        <v>107</v>
      </c>
      <c r="P2" s="1" t="s">
        <v>106</v>
      </c>
      <c r="Q2" s="1" t="s">
        <v>97</v>
      </c>
      <c r="R2" s="1" t="s">
        <v>105</v>
      </c>
      <c r="S2" s="1" t="s">
        <v>104</v>
      </c>
    </row>
    <row r="3" spans="1:19" x14ac:dyDescent="0.2">
      <c r="B3" t="s">
        <v>66</v>
      </c>
      <c r="D3" s="21" t="s">
        <v>99</v>
      </c>
      <c r="E3" s="21" t="s">
        <v>103</v>
      </c>
      <c r="F3" s="21"/>
      <c r="H3" s="1">
        <v>16</v>
      </c>
      <c r="I3" s="1">
        <v>9</v>
      </c>
      <c r="J3" s="1">
        <v>35</v>
      </c>
      <c r="K3" s="1">
        <v>12</v>
      </c>
      <c r="L3" s="1">
        <v>25</v>
      </c>
      <c r="M3" s="1">
        <v>15</v>
      </c>
      <c r="N3" s="1">
        <v>22</v>
      </c>
      <c r="O3" s="1">
        <v>14</v>
      </c>
      <c r="P3" s="1">
        <v>17</v>
      </c>
      <c r="Q3" s="1">
        <v>19</v>
      </c>
      <c r="R3" s="1">
        <v>8</v>
      </c>
      <c r="S3" s="1">
        <v>14</v>
      </c>
    </row>
    <row r="4" spans="1:19" x14ac:dyDescent="0.2">
      <c r="B4" s="20" t="s">
        <v>67</v>
      </c>
      <c r="C4" s="20" t="str">
        <f>B4</f>
        <v>1-3:09</v>
      </c>
      <c r="D4" t="s">
        <v>102</v>
      </c>
      <c r="H4" s="9">
        <v>0</v>
      </c>
      <c r="I4" s="9">
        <v>1</v>
      </c>
      <c r="J4" s="9">
        <v>0</v>
      </c>
      <c r="K4" s="9">
        <v>0</v>
      </c>
      <c r="L4" s="9">
        <v>0</v>
      </c>
      <c r="M4" s="9">
        <v>1</v>
      </c>
      <c r="N4" s="9">
        <v>0</v>
      </c>
      <c r="O4" s="9">
        <v>0</v>
      </c>
      <c r="P4" s="9">
        <v>0</v>
      </c>
      <c r="Q4" s="9">
        <v>1</v>
      </c>
      <c r="R4" s="9">
        <v>0</v>
      </c>
      <c r="S4" s="9">
        <v>0</v>
      </c>
    </row>
    <row r="5" spans="1:19" x14ac:dyDescent="0.2">
      <c r="D5" t="s">
        <v>101</v>
      </c>
    </row>
    <row r="6" spans="1:19" x14ac:dyDescent="0.2">
      <c r="H6" s="4" t="s">
        <v>100</v>
      </c>
    </row>
    <row r="7" spans="1:19" x14ac:dyDescent="0.2">
      <c r="A7" s="19" t="s">
        <v>68</v>
      </c>
      <c r="B7" s="20" t="s">
        <v>65</v>
      </c>
      <c r="C7" s="20" t="str">
        <f>B7</f>
        <v>1-2:16</v>
      </c>
      <c r="D7" s="22" t="s">
        <v>99</v>
      </c>
      <c r="E7" s="22" t="s">
        <v>98</v>
      </c>
      <c r="F7" s="22" t="s">
        <v>97</v>
      </c>
      <c r="H7">
        <f>SUMPRODUCT(H3:S3,H4:S4)</f>
        <v>43</v>
      </c>
    </row>
    <row r="8" spans="1:19" x14ac:dyDescent="0.2">
      <c r="B8" t="s">
        <v>66</v>
      </c>
      <c r="D8" s="22">
        <v>1</v>
      </c>
      <c r="E8" s="22">
        <v>1</v>
      </c>
      <c r="F8" s="22">
        <v>1</v>
      </c>
    </row>
    <row r="9" spans="1:19" x14ac:dyDescent="0.2">
      <c r="B9" t="s">
        <v>69</v>
      </c>
      <c r="H9" s="4" t="s">
        <v>21</v>
      </c>
    </row>
    <row r="10" spans="1:19" ht="16" x14ac:dyDescent="0.2">
      <c r="B10" t="s">
        <v>70</v>
      </c>
      <c r="G10" s="6" t="s">
        <v>96</v>
      </c>
      <c r="H10">
        <f>SUM(H4+I4+J4)</f>
        <v>1</v>
      </c>
      <c r="I10" t="s">
        <v>10</v>
      </c>
      <c r="J10">
        <v>1</v>
      </c>
    </row>
    <row r="11" spans="1:19" x14ac:dyDescent="0.2">
      <c r="G11" t="s">
        <v>95</v>
      </c>
      <c r="H11">
        <f>H4</f>
        <v>0</v>
      </c>
      <c r="I11" t="s">
        <v>10</v>
      </c>
      <c r="J11">
        <f>K4+L4</f>
        <v>0</v>
      </c>
    </row>
    <row r="12" spans="1:19" x14ac:dyDescent="0.2">
      <c r="A12" t="s">
        <v>71</v>
      </c>
      <c r="B12" t="s">
        <v>72</v>
      </c>
      <c r="G12" t="s">
        <v>94</v>
      </c>
      <c r="H12">
        <f>J4+K4+M4</f>
        <v>1</v>
      </c>
      <c r="I12" t="s">
        <v>10</v>
      </c>
      <c r="J12">
        <f>O4+P4+Q4</f>
        <v>1</v>
      </c>
    </row>
    <row r="13" spans="1:19" x14ac:dyDescent="0.2">
      <c r="B13" t="s">
        <v>73</v>
      </c>
      <c r="G13" t="s">
        <v>93</v>
      </c>
      <c r="H13">
        <f>I4</f>
        <v>1</v>
      </c>
      <c r="I13" t="s">
        <v>10</v>
      </c>
      <c r="J13">
        <f>M4+N4</f>
        <v>1</v>
      </c>
    </row>
    <row r="14" spans="1:19" x14ac:dyDescent="0.2">
      <c r="B14" s="20" t="s">
        <v>74</v>
      </c>
      <c r="C14" s="20" t="str">
        <f>B14</f>
        <v>1-3-4: 24</v>
      </c>
      <c r="G14" t="s">
        <v>92</v>
      </c>
      <c r="H14">
        <f>L4+O4</f>
        <v>0</v>
      </c>
      <c r="I14" t="s">
        <v>10</v>
      </c>
      <c r="J14">
        <f>R4</f>
        <v>0</v>
      </c>
    </row>
    <row r="15" spans="1:19" x14ac:dyDescent="0.2">
      <c r="B15" t="s">
        <v>75</v>
      </c>
      <c r="G15" t="s">
        <v>91</v>
      </c>
      <c r="H15">
        <f>N4+P4</f>
        <v>0</v>
      </c>
      <c r="I15" t="s">
        <v>10</v>
      </c>
      <c r="J15">
        <f>S4</f>
        <v>0</v>
      </c>
    </row>
    <row r="16" spans="1:19" x14ac:dyDescent="0.2">
      <c r="G16" t="s">
        <v>90</v>
      </c>
      <c r="H16">
        <f>Q4+R4+S4</f>
        <v>1</v>
      </c>
      <c r="I16" t="s">
        <v>10</v>
      </c>
      <c r="J16">
        <v>1</v>
      </c>
    </row>
    <row r="17" spans="1:3" x14ac:dyDescent="0.2">
      <c r="A17" t="s">
        <v>76</v>
      </c>
      <c r="B17" t="s">
        <v>77</v>
      </c>
    </row>
    <row r="18" spans="1:3" x14ac:dyDescent="0.2">
      <c r="B18" t="s">
        <v>78</v>
      </c>
    </row>
    <row r="19" spans="1:3" x14ac:dyDescent="0.2">
      <c r="B19" t="s">
        <v>79</v>
      </c>
    </row>
    <row r="20" spans="1:3" x14ac:dyDescent="0.2">
      <c r="B20" t="s">
        <v>80</v>
      </c>
    </row>
    <row r="21" spans="1:3" x14ac:dyDescent="0.2">
      <c r="B21" s="20" t="s">
        <v>75</v>
      </c>
      <c r="C21" s="20" t="str">
        <f>B21</f>
        <v>1-3-6: 31</v>
      </c>
    </row>
    <row r="23" spans="1:3" x14ac:dyDescent="0.2">
      <c r="A23" t="s">
        <v>81</v>
      </c>
    </row>
    <row r="24" spans="1:3" x14ac:dyDescent="0.2">
      <c r="B24" t="s">
        <v>82</v>
      </c>
    </row>
    <row r="25" spans="1:3" x14ac:dyDescent="0.2">
      <c r="B25" s="20" t="s">
        <v>83</v>
      </c>
      <c r="C25" s="20" t="str">
        <f>B25</f>
        <v>1-3-4-5:38</v>
      </c>
    </row>
    <row r="26" spans="1:3" x14ac:dyDescent="0.2">
      <c r="B26" t="s">
        <v>79</v>
      </c>
    </row>
    <row r="27" spans="1:3" x14ac:dyDescent="0.2">
      <c r="B27" t="s">
        <v>84</v>
      </c>
    </row>
    <row r="28" spans="1:3" x14ac:dyDescent="0.2">
      <c r="A28" t="s">
        <v>85</v>
      </c>
    </row>
    <row r="29" spans="1:3" x14ac:dyDescent="0.2">
      <c r="B29" t="s">
        <v>87</v>
      </c>
    </row>
    <row r="30" spans="1:3" x14ac:dyDescent="0.2">
      <c r="B30" s="20" t="s">
        <v>86</v>
      </c>
      <c r="C30" s="20" t="str">
        <f>B30</f>
        <v>1-3-4-7:43</v>
      </c>
    </row>
    <row r="31" spans="1:3" x14ac:dyDescent="0.2">
      <c r="B31" t="s">
        <v>88</v>
      </c>
    </row>
    <row r="32" spans="1:3" x14ac:dyDescent="0.2">
      <c r="A32" s="22" t="s">
        <v>89</v>
      </c>
      <c r="B32" s="22">
        <v>43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E223-97C4-4D34-8A33-C42C341E6EF3}">
  <dimension ref="A5:K26"/>
  <sheetViews>
    <sheetView tabSelected="1" workbookViewId="0">
      <selection activeCell="F29" sqref="F29"/>
    </sheetView>
  </sheetViews>
  <sheetFormatPr baseColWidth="10" defaultColWidth="8.83203125" defaultRowHeight="15" x14ac:dyDescent="0.2"/>
  <cols>
    <col min="2" max="2" width="13.1640625" customWidth="1"/>
    <col min="3" max="3" width="19" customWidth="1"/>
    <col min="8" max="8" width="21.6640625" customWidth="1"/>
    <col min="9" max="9" width="12" customWidth="1"/>
    <col min="10" max="10" width="26.5" customWidth="1"/>
  </cols>
  <sheetData>
    <row r="5" spans="1:11" ht="101.25" customHeight="1" x14ac:dyDescent="0.2">
      <c r="B5" s="61" t="s">
        <v>3</v>
      </c>
      <c r="C5" s="61"/>
      <c r="D5" s="61"/>
      <c r="E5" s="61"/>
      <c r="F5" s="61"/>
      <c r="G5" s="61"/>
      <c r="H5" s="61"/>
      <c r="I5" s="61"/>
      <c r="J5" s="61"/>
    </row>
    <row r="7" spans="1:11" x14ac:dyDescent="0.2">
      <c r="C7" s="62" t="s">
        <v>4</v>
      </c>
      <c r="D7" s="62"/>
      <c r="E7" s="62"/>
      <c r="F7" s="62"/>
      <c r="G7" s="62"/>
    </row>
    <row r="8" spans="1:11" x14ac:dyDescent="0.2">
      <c r="A8" s="63" t="s">
        <v>5</v>
      </c>
      <c r="C8" s="1">
        <v>1</v>
      </c>
      <c r="D8" s="1">
        <v>2</v>
      </c>
      <c r="E8" s="1">
        <v>3</v>
      </c>
      <c r="F8" s="1">
        <v>4</v>
      </c>
      <c r="G8" s="1">
        <v>5</v>
      </c>
    </row>
    <row r="9" spans="1:11" ht="16" x14ac:dyDescent="0.2">
      <c r="A9" s="63"/>
      <c r="B9" s="1">
        <v>1</v>
      </c>
      <c r="C9" s="2">
        <v>5</v>
      </c>
      <c r="D9" s="2">
        <v>8</v>
      </c>
      <c r="E9" s="2">
        <v>3</v>
      </c>
      <c r="F9" s="2">
        <v>12</v>
      </c>
      <c r="G9" s="2">
        <v>7</v>
      </c>
      <c r="H9" s="6" t="s">
        <v>9</v>
      </c>
      <c r="I9">
        <f>SUM(C16:G16)</f>
        <v>1</v>
      </c>
      <c r="J9" t="s">
        <v>8</v>
      </c>
      <c r="K9">
        <v>1</v>
      </c>
    </row>
    <row r="10" spans="1:11" x14ac:dyDescent="0.2">
      <c r="A10" s="63"/>
      <c r="B10" s="1">
        <v>2</v>
      </c>
      <c r="C10" s="2">
        <v>9</v>
      </c>
      <c r="D10" s="2">
        <v>6</v>
      </c>
      <c r="E10" s="2">
        <v>10</v>
      </c>
      <c r="F10" s="2">
        <v>5</v>
      </c>
      <c r="G10" s="2">
        <v>11</v>
      </c>
      <c r="H10" t="s">
        <v>13</v>
      </c>
      <c r="I10">
        <f t="shared" ref="I10:I14" si="0">SUM(C17:G17)</f>
        <v>1</v>
      </c>
      <c r="J10" t="s">
        <v>8</v>
      </c>
      <c r="K10">
        <v>1</v>
      </c>
    </row>
    <row r="11" spans="1:11" x14ac:dyDescent="0.2">
      <c r="A11" s="63"/>
      <c r="B11" s="1">
        <v>3</v>
      </c>
      <c r="C11" s="2">
        <v>7</v>
      </c>
      <c r="D11" s="2">
        <v>3</v>
      </c>
      <c r="E11" s="2">
        <v>8</v>
      </c>
      <c r="F11" s="2">
        <v>7</v>
      </c>
      <c r="G11" s="2">
        <v>6</v>
      </c>
      <c r="H11" t="s">
        <v>14</v>
      </c>
      <c r="I11">
        <f t="shared" si="0"/>
        <v>0</v>
      </c>
      <c r="J11" t="s">
        <v>8</v>
      </c>
      <c r="K11">
        <v>1</v>
      </c>
    </row>
    <row r="12" spans="1:11" x14ac:dyDescent="0.2">
      <c r="A12" s="63"/>
      <c r="B12" s="1">
        <v>4</v>
      </c>
      <c r="C12" s="2">
        <v>3</v>
      </c>
      <c r="D12" s="2">
        <v>5</v>
      </c>
      <c r="E12" s="2">
        <v>6</v>
      </c>
      <c r="F12" s="2">
        <v>9</v>
      </c>
      <c r="G12" s="2">
        <v>8</v>
      </c>
      <c r="H12" t="s">
        <v>15</v>
      </c>
      <c r="I12">
        <f t="shared" si="0"/>
        <v>1</v>
      </c>
      <c r="J12" t="s">
        <v>8</v>
      </c>
      <c r="K12">
        <v>1</v>
      </c>
    </row>
    <row r="13" spans="1:11" x14ac:dyDescent="0.2">
      <c r="A13" s="63"/>
      <c r="B13" s="1">
        <v>5</v>
      </c>
      <c r="C13" s="2">
        <v>11</v>
      </c>
      <c r="D13" s="2">
        <v>7</v>
      </c>
      <c r="E13" s="2">
        <v>5</v>
      </c>
      <c r="F13" s="2">
        <v>4</v>
      </c>
      <c r="G13" s="2">
        <v>3</v>
      </c>
      <c r="H13" t="s">
        <v>16</v>
      </c>
      <c r="I13">
        <f t="shared" si="0"/>
        <v>1</v>
      </c>
      <c r="J13" t="s">
        <v>8</v>
      </c>
      <c r="K13">
        <v>1</v>
      </c>
    </row>
    <row r="14" spans="1:11" x14ac:dyDescent="0.2">
      <c r="A14" s="63"/>
      <c r="B14" s="1">
        <v>6</v>
      </c>
      <c r="C14" s="2">
        <v>8</v>
      </c>
      <c r="D14" s="2">
        <v>2</v>
      </c>
      <c r="E14" s="2">
        <v>9</v>
      </c>
      <c r="F14" s="2">
        <v>6</v>
      </c>
      <c r="G14" s="2">
        <v>10</v>
      </c>
      <c r="H14" t="s">
        <v>17</v>
      </c>
      <c r="I14">
        <f t="shared" si="0"/>
        <v>1</v>
      </c>
      <c r="J14" t="s">
        <v>8</v>
      </c>
      <c r="K14">
        <v>1</v>
      </c>
    </row>
    <row r="15" spans="1:11" x14ac:dyDescent="0.2">
      <c r="H15" s="64" t="s">
        <v>6</v>
      </c>
      <c r="I15" s="64"/>
    </row>
    <row r="16" spans="1:11" x14ac:dyDescent="0.2">
      <c r="B16">
        <v>1</v>
      </c>
      <c r="C16" s="5">
        <v>0</v>
      </c>
      <c r="D16" s="5">
        <v>0</v>
      </c>
      <c r="E16" s="5">
        <v>1</v>
      </c>
      <c r="F16" s="5">
        <v>0</v>
      </c>
      <c r="G16" s="5">
        <v>0</v>
      </c>
      <c r="H16">
        <f>SUMPRODUCT(C9:G14,C16:G21)</f>
        <v>16</v>
      </c>
    </row>
    <row r="17" spans="2:7" x14ac:dyDescent="0.2">
      <c r="B17">
        <v>2</v>
      </c>
      <c r="C17" s="5">
        <v>0</v>
      </c>
      <c r="D17" s="5">
        <v>0</v>
      </c>
      <c r="E17" s="5">
        <v>0</v>
      </c>
      <c r="F17" s="5">
        <v>1</v>
      </c>
      <c r="G17" s="5">
        <v>0</v>
      </c>
    </row>
    <row r="18" spans="2:7" x14ac:dyDescent="0.2">
      <c r="B18">
        <v>3</v>
      </c>
      <c r="C18" s="5">
        <v>0</v>
      </c>
      <c r="D18" s="5">
        <v>0</v>
      </c>
      <c r="E18" s="5">
        <v>0</v>
      </c>
      <c r="F18" s="5">
        <v>0</v>
      </c>
      <c r="G18" s="5">
        <v>0</v>
      </c>
    </row>
    <row r="19" spans="2:7" x14ac:dyDescent="0.2">
      <c r="B19">
        <v>4</v>
      </c>
      <c r="C19" s="5">
        <v>1</v>
      </c>
      <c r="D19" s="5">
        <v>0</v>
      </c>
      <c r="E19" s="5">
        <v>0</v>
      </c>
      <c r="F19" s="5">
        <v>0</v>
      </c>
      <c r="G19" s="5">
        <v>0</v>
      </c>
    </row>
    <row r="20" spans="2:7" x14ac:dyDescent="0.2">
      <c r="B20">
        <v>5</v>
      </c>
      <c r="C20" s="5">
        <v>0</v>
      </c>
      <c r="D20" s="5">
        <v>0</v>
      </c>
      <c r="E20" s="5">
        <v>0</v>
      </c>
      <c r="F20" s="5">
        <v>0</v>
      </c>
      <c r="G20" s="5">
        <v>1</v>
      </c>
    </row>
    <row r="21" spans="2:7" x14ac:dyDescent="0.2">
      <c r="B21">
        <v>6</v>
      </c>
      <c r="C21" s="5">
        <v>0</v>
      </c>
      <c r="D21" s="5">
        <v>1</v>
      </c>
      <c r="E21" s="5">
        <v>0</v>
      </c>
      <c r="F21" s="5">
        <v>0</v>
      </c>
      <c r="G21" s="5">
        <v>0</v>
      </c>
    </row>
    <row r="23" spans="2:7" x14ac:dyDescent="0.2">
      <c r="B23" s="4" t="s">
        <v>7</v>
      </c>
      <c r="C23" t="s">
        <v>11</v>
      </c>
    </row>
    <row r="24" spans="2:7" x14ac:dyDescent="0.2">
      <c r="B24" t="s">
        <v>12</v>
      </c>
      <c r="C24">
        <f>SUM(C16:C21)</f>
        <v>1</v>
      </c>
      <c r="D24">
        <f t="shared" ref="D24:G24" si="1">SUM(D16:D21)</f>
        <v>1</v>
      </c>
      <c r="E24">
        <f t="shared" si="1"/>
        <v>1</v>
      </c>
      <c r="F24">
        <f t="shared" si="1"/>
        <v>1</v>
      </c>
      <c r="G24">
        <f t="shared" si="1"/>
        <v>1</v>
      </c>
    </row>
    <row r="25" spans="2:7" x14ac:dyDescent="0.2">
      <c r="C25" s="7" t="s">
        <v>10</v>
      </c>
      <c r="D25" s="7" t="s">
        <v>10</v>
      </c>
      <c r="E25" s="7" t="s">
        <v>10</v>
      </c>
      <c r="F25" s="7" t="s">
        <v>10</v>
      </c>
      <c r="G25" s="7" t="s">
        <v>10</v>
      </c>
    </row>
    <row r="26" spans="2:7" x14ac:dyDescent="0.2">
      <c r="B26" t="s">
        <v>4</v>
      </c>
      <c r="C26">
        <v>1</v>
      </c>
      <c r="D26">
        <v>1</v>
      </c>
      <c r="E26">
        <v>1</v>
      </c>
      <c r="F26">
        <v>1</v>
      </c>
      <c r="G26">
        <v>1</v>
      </c>
    </row>
  </sheetData>
  <mergeCells count="4">
    <mergeCell ref="B5:J5"/>
    <mergeCell ref="C7:G7"/>
    <mergeCell ref="A8:A14"/>
    <mergeCell ref="H15:I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Kreeger Grocery Store</vt:lpstr>
      <vt:lpstr>Set Covering problem</vt:lpstr>
      <vt:lpstr>Shortest Path Problem (2)</vt:lpstr>
      <vt:lpstr>Optimal Assignment Problem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Vemprala, Naga</dc:creator>
  <cp:lastModifiedBy>Marissa Cheplick</cp:lastModifiedBy>
  <dcterms:created xsi:type="dcterms:W3CDTF">2025-02-05T01:32:30Z</dcterms:created>
  <dcterms:modified xsi:type="dcterms:W3CDTF">2026-02-18T16:28:37Z</dcterms:modified>
</cp:coreProperties>
</file>