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166925"/>
  <mc:AlternateContent xmlns:mc="http://schemas.openxmlformats.org/markup-compatibility/2006">
    <mc:Choice Requires="x15">
      <x15ac:absPath xmlns:x15ac="http://schemas.microsoft.com/office/spreadsheetml/2010/11/ac" url="/Users/owner/Documents/UP Courses/D_Mod/"/>
    </mc:Choice>
  </mc:AlternateContent>
  <xr:revisionPtr revIDLastSave="0" documentId="13_ncr:1_{F1881440-6302-CF48-8B1C-8F032479857D}" xr6:coauthVersionLast="47" xr6:coauthVersionMax="47" xr10:uidLastSave="{00000000-0000-0000-0000-000000000000}"/>
  <bookViews>
    <workbookView xWindow="2120" yWindow="1120" windowWidth="25340" windowHeight="16280" activeTab="5" xr2:uid="{59679623-26DC-4951-8BCB-EC98237FD459}"/>
  </bookViews>
  <sheets>
    <sheet name="Kreeger Grocery Store" sheetId="2" r:id="rId1"/>
    <sheet name="Set Covering problem" sheetId="3" r:id="rId2"/>
    <sheet name="Shortest Path Problem (2)" sheetId="6" r:id="rId3"/>
    <sheet name="The Dynaco Company Network" sheetId="7" r:id="rId4"/>
    <sheet name="Bond Investment" sheetId="8" r:id="rId5"/>
    <sheet name="Optimal Assignment Problem" sheetId="4" r:id="rId6"/>
  </sheets>
  <definedNames>
    <definedName name="solver_adj" localSheetId="4" hidden="1">'Bond Investment'!$F$8:$F$13</definedName>
    <definedName name="solver_adj" localSheetId="0" hidden="1">'Kreeger Grocery Store'!$E$30:$N$30</definedName>
    <definedName name="solver_adj" localSheetId="5" hidden="1">'Optimal Assignment Problem'!$C$16:$G$21</definedName>
    <definedName name="solver_adj" localSheetId="1" hidden="1">'Set Covering problem'!$C$21:$C$36</definedName>
    <definedName name="solver_adj" localSheetId="2" hidden="1">'Shortest Path Problem (2)'!$H$4:$S$4</definedName>
    <definedName name="solver_adj" localSheetId="3" hidden="1">'The Dynaco Company Network'!$E$15:$E$30</definedName>
    <definedName name="solver_cvg" localSheetId="4" hidden="1">0.0001</definedName>
    <definedName name="solver_cvg" localSheetId="0" hidden="1">0.0001</definedName>
    <definedName name="solver_cvg" localSheetId="5" hidden="1">0.0001</definedName>
    <definedName name="solver_cvg" localSheetId="1" hidden="1">0.0001</definedName>
    <definedName name="solver_cvg" localSheetId="2" hidden="1">0.0001</definedName>
    <definedName name="solver_cvg" localSheetId="3" hidden="1">0.0001</definedName>
    <definedName name="solver_drv" localSheetId="4" hidden="1">1</definedName>
    <definedName name="solver_drv" localSheetId="0" hidden="1">1</definedName>
    <definedName name="solver_drv" localSheetId="5" hidden="1">1</definedName>
    <definedName name="solver_drv" localSheetId="1" hidden="1">1</definedName>
    <definedName name="solver_drv" localSheetId="2" hidden="1">1</definedName>
    <definedName name="solver_drv" localSheetId="3" hidden="1">1</definedName>
    <definedName name="solver_eng" localSheetId="4" hidden="1">2</definedName>
    <definedName name="solver_eng" localSheetId="0" hidden="1">2</definedName>
    <definedName name="solver_eng" localSheetId="5" hidden="1">2</definedName>
    <definedName name="solver_eng" localSheetId="1" hidden="1">2</definedName>
    <definedName name="solver_eng" localSheetId="2" hidden="1">2</definedName>
    <definedName name="solver_eng" localSheetId="3" hidden="1">2</definedName>
    <definedName name="solver_est" localSheetId="4" hidden="1">1</definedName>
    <definedName name="solver_itr" localSheetId="4" hidden="1">2147483647</definedName>
    <definedName name="solver_itr" localSheetId="0" hidden="1">2147483647</definedName>
    <definedName name="solver_itr" localSheetId="5" hidden="1">2147483647</definedName>
    <definedName name="solver_itr" localSheetId="1" hidden="1">2147483647</definedName>
    <definedName name="solver_itr" localSheetId="2" hidden="1">2147483647</definedName>
    <definedName name="solver_itr" localSheetId="3" hidden="1">2147483647</definedName>
    <definedName name="solver_lhs1" localSheetId="4" hidden="1">'Bond Investment'!$B$23:$B$29</definedName>
    <definedName name="solver_lhs1" localSheetId="0" hidden="1">'Kreeger Grocery Store'!$E$30:$N$30</definedName>
    <definedName name="solver_lhs1" localSheetId="5" hidden="1">'Optimal Assignment Problem'!$C$16:$G$21</definedName>
    <definedName name="solver_lhs1" localSheetId="1" hidden="1">'Set Covering problem'!$C$21:$C$36</definedName>
    <definedName name="solver_lhs1" localSheetId="2" hidden="1">'Shortest Path Problem (2)'!$H$10:$H$16</definedName>
    <definedName name="solver_lhs1" localSheetId="3" hidden="1">'The Dynaco Company Network'!$E$15:$E$30</definedName>
    <definedName name="solver_lhs2" localSheetId="4" hidden="1">'Bond Investment'!$B$30</definedName>
    <definedName name="solver_lhs2" localSheetId="0" hidden="1">'Kreeger Grocery Store'!$O$37:$O$43</definedName>
    <definedName name="solver_lhs2" localSheetId="5" hidden="1">'Optimal Assignment Problem'!$C$24:$G$24</definedName>
    <definedName name="solver_lhs2" localSheetId="1" hidden="1">'Set Covering problem'!$E$21:$E$36</definedName>
    <definedName name="solver_lhs2" localSheetId="2" hidden="1">'Shortest Path Problem (2)'!$H$4:$S$4</definedName>
    <definedName name="solver_lhs2" localSheetId="3" hidden="1">'The Dynaco Company Network'!$H$15:$H$23</definedName>
    <definedName name="solver_lhs3" localSheetId="4" hidden="1">'Bond Investment'!$B$31</definedName>
    <definedName name="solver_lhs3" localSheetId="5" hidden="1">'Optimal Assignment Problem'!$I$9:$I$14</definedName>
    <definedName name="solver_lhs4" localSheetId="4" hidden="1">'Bond Investment'!#REF!</definedName>
    <definedName name="solver_lin" localSheetId="4" hidden="1">1</definedName>
    <definedName name="solver_lin" localSheetId="0" hidden="1">1</definedName>
    <definedName name="solver_lin" localSheetId="5" hidden="1">1</definedName>
    <definedName name="solver_lin" localSheetId="1" hidden="1">1</definedName>
    <definedName name="solver_lin" localSheetId="2" hidden="1">1</definedName>
    <definedName name="solver_lin" localSheetId="3" hidden="1">1</definedName>
    <definedName name="solver_mip" localSheetId="4" hidden="1">2147483647</definedName>
    <definedName name="solver_mip" localSheetId="0" hidden="1">2147483647</definedName>
    <definedName name="solver_mip" localSheetId="5" hidden="1">2147483647</definedName>
    <definedName name="solver_mip" localSheetId="1" hidden="1">2147483647</definedName>
    <definedName name="solver_mip" localSheetId="2" hidden="1">2147483647</definedName>
    <definedName name="solver_mip" localSheetId="3" hidden="1">2147483647</definedName>
    <definedName name="solver_mni" localSheetId="4" hidden="1">30</definedName>
    <definedName name="solver_mni" localSheetId="0" hidden="1">30</definedName>
    <definedName name="solver_mni" localSheetId="5" hidden="1">30</definedName>
    <definedName name="solver_mni" localSheetId="1" hidden="1">30</definedName>
    <definedName name="solver_mni" localSheetId="2" hidden="1">30</definedName>
    <definedName name="solver_mni" localSheetId="3" hidden="1">30</definedName>
    <definedName name="solver_mrt" localSheetId="4" hidden="1">0.075</definedName>
    <definedName name="solver_mrt" localSheetId="0" hidden="1">0.075</definedName>
    <definedName name="solver_mrt" localSheetId="5" hidden="1">0.075</definedName>
    <definedName name="solver_mrt" localSheetId="1" hidden="1">0.075</definedName>
    <definedName name="solver_mrt" localSheetId="2" hidden="1">0.075</definedName>
    <definedName name="solver_mrt" localSheetId="3" hidden="1">0.075</definedName>
    <definedName name="solver_msl" localSheetId="4" hidden="1">2</definedName>
    <definedName name="solver_msl" localSheetId="0" hidden="1">2</definedName>
    <definedName name="solver_msl" localSheetId="5" hidden="1">2</definedName>
    <definedName name="solver_msl" localSheetId="1" hidden="1">2</definedName>
    <definedName name="solver_msl" localSheetId="2" hidden="1">2</definedName>
    <definedName name="solver_msl" localSheetId="3" hidden="1">2</definedName>
    <definedName name="solver_neg" localSheetId="4" hidden="1">1</definedName>
    <definedName name="solver_neg" localSheetId="0" hidden="1">1</definedName>
    <definedName name="solver_neg" localSheetId="5" hidden="1">1</definedName>
    <definedName name="solver_neg" localSheetId="1" hidden="1">1</definedName>
    <definedName name="solver_neg" localSheetId="2" hidden="1">1</definedName>
    <definedName name="solver_neg" localSheetId="3" hidden="1">1</definedName>
    <definedName name="solver_nod" localSheetId="4" hidden="1">2147483647</definedName>
    <definedName name="solver_nod" localSheetId="0" hidden="1">2147483647</definedName>
    <definedName name="solver_nod" localSheetId="5" hidden="1">2147483647</definedName>
    <definedName name="solver_nod" localSheetId="1" hidden="1">2147483647</definedName>
    <definedName name="solver_nod" localSheetId="2" hidden="1">2147483647</definedName>
    <definedName name="solver_nod" localSheetId="3" hidden="1">2147483647</definedName>
    <definedName name="solver_num" localSheetId="4" hidden="1">3</definedName>
    <definedName name="solver_num" localSheetId="0" hidden="1">2</definedName>
    <definedName name="solver_num" localSheetId="5" hidden="1">3</definedName>
    <definedName name="solver_num" localSheetId="1" hidden="1">2</definedName>
    <definedName name="solver_num" localSheetId="2" hidden="1">2</definedName>
    <definedName name="solver_num" localSheetId="3" hidden="1">2</definedName>
    <definedName name="solver_nwt" localSheetId="4" hidden="1">1</definedName>
    <definedName name="solver_opt" localSheetId="4" hidden="1">'Bond Investment'!$G$8</definedName>
    <definedName name="solver_opt" localSheetId="0" hidden="1">'Kreeger Grocery Store'!$E$32</definedName>
    <definedName name="solver_opt" localSheetId="5" hidden="1">'Optimal Assignment Problem'!$H$16</definedName>
    <definedName name="solver_opt" localSheetId="1" hidden="1">'Set Covering problem'!$C$19</definedName>
    <definedName name="solver_opt" localSheetId="2" hidden="1">'Shortest Path Problem (2)'!$H$7</definedName>
    <definedName name="solver_opt" localSheetId="3" hidden="1">'The Dynaco Company Network'!$E$32</definedName>
    <definedName name="solver_pre" localSheetId="4" hidden="1">0.000001</definedName>
    <definedName name="solver_pre" localSheetId="0" hidden="1">0.000001</definedName>
    <definedName name="solver_pre" localSheetId="5" hidden="1">0.000001</definedName>
    <definedName name="solver_pre" localSheetId="1" hidden="1">0.000001</definedName>
    <definedName name="solver_pre" localSheetId="2" hidden="1">0.000001</definedName>
    <definedName name="solver_pre" localSheetId="3" hidden="1">0.000001</definedName>
    <definedName name="solver_rbv" localSheetId="4" hidden="1">1</definedName>
    <definedName name="solver_rbv" localSheetId="0" hidden="1">1</definedName>
    <definedName name="solver_rbv" localSheetId="5" hidden="1">1</definedName>
    <definedName name="solver_rbv" localSheetId="1" hidden="1">1</definedName>
    <definedName name="solver_rbv" localSheetId="2" hidden="1">1</definedName>
    <definedName name="solver_rbv" localSheetId="3" hidden="1">1</definedName>
    <definedName name="solver_rel1" localSheetId="4" hidden="1">1</definedName>
    <definedName name="solver_rel1" localSheetId="0" hidden="1">5</definedName>
    <definedName name="solver_rel1" localSheetId="5" hidden="1">5</definedName>
    <definedName name="solver_rel1" localSheetId="1" hidden="1">5</definedName>
    <definedName name="solver_rel1" localSheetId="2" hidden="1">2</definedName>
    <definedName name="solver_rel1" localSheetId="3" hidden="1">1</definedName>
    <definedName name="solver_rel2" localSheetId="4" hidden="1">3</definedName>
    <definedName name="solver_rel2" localSheetId="0" hidden="1">2</definedName>
    <definedName name="solver_rel2" localSheetId="5" hidden="1">2</definedName>
    <definedName name="solver_rel2" localSheetId="1" hidden="1">3</definedName>
    <definedName name="solver_rel2" localSheetId="2" hidden="1">5</definedName>
    <definedName name="solver_rel2" localSheetId="3" hidden="1">2</definedName>
    <definedName name="solver_rel3" localSheetId="4" hidden="1">1</definedName>
    <definedName name="solver_rel3" localSheetId="5" hidden="1">1</definedName>
    <definedName name="solver_rel4" localSheetId="4" hidden="1">1</definedName>
    <definedName name="solver_rhs1" localSheetId="4" hidden="1">'Bond Investment'!$D$23:$D$29</definedName>
    <definedName name="solver_rhs1" localSheetId="0" hidden="1">"binary"</definedName>
    <definedName name="solver_rhs1" localSheetId="5" hidden="1">"binary"</definedName>
    <definedName name="solver_rhs1" localSheetId="1" hidden="1">"binary"</definedName>
    <definedName name="solver_rhs1" localSheetId="2" hidden="1">'Shortest Path Problem (2)'!$J$10:$J$16</definedName>
    <definedName name="solver_rhs1" localSheetId="3" hidden="1">'The Dynaco Company Network'!$F$15:$F$30</definedName>
    <definedName name="solver_rhs2" localSheetId="4" hidden="1">'Bond Investment'!$D$30</definedName>
    <definedName name="solver_rhs2" localSheetId="0" hidden="1">'Kreeger Grocery Store'!$Q$37:$Q$43</definedName>
    <definedName name="solver_rhs2" localSheetId="5" hidden="1">'Optimal Assignment Problem'!$C$26:$G$26</definedName>
    <definedName name="solver_rhs2" localSheetId="1" hidden="1">'Set Covering problem'!$G$21:$G$36</definedName>
    <definedName name="solver_rhs2" localSheetId="2" hidden="1">"binary"</definedName>
    <definedName name="solver_rhs2" localSheetId="3" hidden="1">'The Dynaco Company Network'!$J$15:$J$23</definedName>
    <definedName name="solver_rhs3" localSheetId="4" hidden="1">'Bond Investment'!$D$31</definedName>
    <definedName name="solver_rhs3" localSheetId="5" hidden="1">'Optimal Assignment Problem'!$K$9:$K$14</definedName>
    <definedName name="solver_rhs4" localSheetId="4" hidden="1">'Bond Investment'!$C$27</definedName>
    <definedName name="solver_rlx" localSheetId="4" hidden="1">2</definedName>
    <definedName name="solver_rlx" localSheetId="0" hidden="1">2</definedName>
    <definedName name="solver_rlx" localSheetId="5" hidden="1">2</definedName>
    <definedName name="solver_rlx" localSheetId="1" hidden="1">2</definedName>
    <definedName name="solver_rlx" localSheetId="2" hidden="1">2</definedName>
    <definedName name="solver_rlx" localSheetId="3" hidden="1">2</definedName>
    <definedName name="solver_rsd" localSheetId="4" hidden="1">0</definedName>
    <definedName name="solver_rsd" localSheetId="0" hidden="1">0</definedName>
    <definedName name="solver_rsd" localSheetId="5" hidden="1">0</definedName>
    <definedName name="solver_rsd" localSheetId="1" hidden="1">0</definedName>
    <definedName name="solver_rsd" localSheetId="2" hidden="1">0</definedName>
    <definedName name="solver_rsd" localSheetId="3" hidden="1">0</definedName>
    <definedName name="solver_scl" localSheetId="4" hidden="1">1</definedName>
    <definedName name="solver_scl" localSheetId="0" hidden="1">2</definedName>
    <definedName name="solver_scl" localSheetId="5" hidden="1">1</definedName>
    <definedName name="solver_scl" localSheetId="1" hidden="1">1</definedName>
    <definedName name="solver_scl" localSheetId="2" hidden="1">1</definedName>
    <definedName name="solver_scl" localSheetId="3" hidden="1">2</definedName>
    <definedName name="solver_sho" localSheetId="4" hidden="1">2</definedName>
    <definedName name="solver_sho" localSheetId="0" hidden="1">2</definedName>
    <definedName name="solver_sho" localSheetId="5" hidden="1">2</definedName>
    <definedName name="solver_sho" localSheetId="1" hidden="1">2</definedName>
    <definedName name="solver_sho" localSheetId="2" hidden="1">2</definedName>
    <definedName name="solver_sho" localSheetId="3" hidden="1">2</definedName>
    <definedName name="solver_ssz" localSheetId="4" hidden="1">100</definedName>
    <definedName name="solver_ssz" localSheetId="0" hidden="1">100</definedName>
    <definedName name="solver_ssz" localSheetId="5" hidden="1">100</definedName>
    <definedName name="solver_ssz" localSheetId="1" hidden="1">100</definedName>
    <definedName name="solver_ssz" localSheetId="2" hidden="1">100</definedName>
    <definedName name="solver_ssz" localSheetId="3" hidden="1">100</definedName>
    <definedName name="solver_tim" localSheetId="4" hidden="1">2147483647</definedName>
    <definedName name="solver_tim" localSheetId="0" hidden="1">2147483647</definedName>
    <definedName name="solver_tim" localSheetId="5" hidden="1">2147483647</definedName>
    <definedName name="solver_tim" localSheetId="1" hidden="1">2147483647</definedName>
    <definedName name="solver_tim" localSheetId="2" hidden="1">2147483647</definedName>
    <definedName name="solver_tim" localSheetId="3" hidden="1">2147483647</definedName>
    <definedName name="solver_tol" localSheetId="4" hidden="1">0.01</definedName>
    <definedName name="solver_tol" localSheetId="0" hidden="1">0.01</definedName>
    <definedName name="solver_tol" localSheetId="5" hidden="1">0.01</definedName>
    <definedName name="solver_tol" localSheetId="1" hidden="1">0.01</definedName>
    <definedName name="solver_tol" localSheetId="2" hidden="1">0.01</definedName>
    <definedName name="solver_tol" localSheetId="3" hidden="1">0.01</definedName>
    <definedName name="solver_typ" localSheetId="4" hidden="1">1</definedName>
    <definedName name="solver_typ" localSheetId="0" hidden="1">1</definedName>
    <definedName name="solver_typ" localSheetId="5" hidden="1">2</definedName>
    <definedName name="solver_typ" localSheetId="1" hidden="1">2</definedName>
    <definedName name="solver_typ" localSheetId="2" hidden="1">2</definedName>
    <definedName name="solver_typ" localSheetId="3" hidden="1">1</definedName>
    <definedName name="solver_val" localSheetId="4" hidden="1">0</definedName>
    <definedName name="solver_val" localSheetId="0" hidden="1">0</definedName>
    <definedName name="solver_val" localSheetId="5" hidden="1">0</definedName>
    <definedName name="solver_val" localSheetId="1" hidden="1">0</definedName>
    <definedName name="solver_val" localSheetId="2" hidden="1">0</definedName>
    <definedName name="solver_val" localSheetId="3" hidden="1">0</definedName>
    <definedName name="solver_ver" localSheetId="4" hidden="1">2</definedName>
    <definedName name="solver_ver" localSheetId="0" hidden="1">2</definedName>
    <definedName name="solver_ver" localSheetId="5" hidden="1">2</definedName>
    <definedName name="solver_ver" localSheetId="1" hidden="1">2</definedName>
    <definedName name="solver_ver" localSheetId="2" hidden="1">2</definedName>
    <definedName name="solver_ver" localSheetId="3" hidden="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8" i="8" l="1"/>
  <c r="F14" i="8"/>
  <c r="F15" i="8"/>
  <c r="D29" i="8" s="1"/>
  <c r="B20" i="8"/>
  <c r="B23" i="8"/>
  <c r="D23" i="8"/>
  <c r="B24" i="8"/>
  <c r="B25" i="8"/>
  <c r="B26" i="8"/>
  <c r="B27" i="8"/>
  <c r="B28" i="8"/>
  <c r="B29" i="8"/>
  <c r="B30" i="8"/>
  <c r="B31" i="8"/>
  <c r="D30" i="8" l="1"/>
  <c r="D26" i="8"/>
  <c r="D28" i="8"/>
  <c r="D24" i="8"/>
  <c r="D31" i="8"/>
  <c r="D27" i="8"/>
  <c r="D25" i="8"/>
  <c r="H15" i="7"/>
  <c r="J15" i="7"/>
  <c r="H16" i="7"/>
  <c r="J16" i="7"/>
  <c r="H17" i="7"/>
  <c r="J17" i="7"/>
  <c r="H18" i="7"/>
  <c r="J18" i="7"/>
  <c r="H19" i="7"/>
  <c r="J19" i="7"/>
  <c r="H20" i="7"/>
  <c r="J20" i="7"/>
  <c r="H21" i="7"/>
  <c r="J21" i="7"/>
  <c r="H22" i="7"/>
  <c r="J22" i="7"/>
  <c r="H23" i="7"/>
  <c r="J23" i="7"/>
  <c r="E32" i="7"/>
  <c r="J32" i="7"/>
  <c r="C4" i="6"/>
  <c r="C7" i="6"/>
  <c r="H7" i="6"/>
  <c r="H10" i="6"/>
  <c r="H11" i="6"/>
  <c r="J11" i="6"/>
  <c r="H12" i="6"/>
  <c r="J12" i="6"/>
  <c r="H13" i="6"/>
  <c r="J13" i="6"/>
  <c r="C14" i="6"/>
  <c r="H14" i="6"/>
  <c r="J14" i="6"/>
  <c r="H15" i="6"/>
  <c r="J15" i="6"/>
  <c r="H16" i="6"/>
  <c r="C21" i="6"/>
  <c r="C25" i="6"/>
  <c r="C30" i="6"/>
  <c r="E29" i="3" l="1"/>
  <c r="E32" i="3"/>
  <c r="E35" i="3"/>
  <c r="C19" i="3"/>
  <c r="E36" i="3"/>
  <c r="E34" i="3"/>
  <c r="E33" i="3"/>
  <c r="E31" i="3"/>
  <c r="E30" i="3"/>
  <c r="E28" i="3"/>
  <c r="E27" i="3"/>
  <c r="E26" i="3"/>
  <c r="E25" i="3"/>
  <c r="E24" i="3"/>
  <c r="E23" i="3"/>
  <c r="E22" i="3"/>
  <c r="E21" i="3"/>
  <c r="O38" i="2"/>
  <c r="O39" i="2"/>
  <c r="O40" i="2"/>
  <c r="O41" i="2"/>
  <c r="O42" i="2"/>
  <c r="O43" i="2"/>
  <c r="E32" i="2"/>
  <c r="O37" i="2"/>
  <c r="E35" i="2"/>
  <c r="D24" i="4"/>
  <c r="E24" i="4"/>
  <c r="F24" i="4"/>
  <c r="G24" i="4"/>
  <c r="C24" i="4"/>
  <c r="I10" i="4"/>
  <c r="I11" i="4"/>
  <c r="I12" i="4"/>
  <c r="I13" i="4"/>
  <c r="I14" i="4"/>
  <c r="I9" i="4"/>
  <c r="H16" i="4"/>
</calcChain>
</file>

<file path=xl/sharedStrings.xml><?xml version="1.0" encoding="utf-8"?>
<sst xmlns="http://schemas.openxmlformats.org/spreadsheetml/2006/main" count="249" uniqueCount="168">
  <si>
    <t>Develop and solve an integer programming model to determine which stores the Kreeger chain should keep open in Portland to maintain optimal revenue.</t>
  </si>
  <si>
    <t xml:space="preserve">The Kreeger Grocery Store chain has bought out a competing grocery store chain. However, it now has too many stores in close proximity to each other in certain cities. In Portland, the chain has 10 stores, and it does not want any stores closer than 2 miles to each other. Following are the monthly revenues ($1,000s) from each store closer than 2 miles to each store and a map showing the general proximity of the stores. Stores within 2 miles of each other are circled. </t>
  </si>
  <si>
    <t>The below map shows a high-level city map with 16 districts. The goal is to find what is the optimal number of firestations required to serve all the districts. First station in one district will serve the district immediately adjacent to it. Assume that it costs the same amount to setup any firestation.</t>
  </si>
  <si>
    <t>The dispatcher for Citywide Taxi company has six taxicabs and five customers who have called for service. The dispatcher wants to assign each customer to a taxi in a way that minimizes the total distance traveled by all taxis.
The distances (in miles) between each taxi and each customer are given in the following table:</t>
  </si>
  <si>
    <t>Customer</t>
  </si>
  <si>
    <t xml:space="preserve">                Taxi</t>
  </si>
  <si>
    <t>Objective Function: Minimization</t>
  </si>
  <si>
    <t>Contraints:</t>
  </si>
  <si>
    <t>&lt;=</t>
  </si>
  <si>
    <t>x1,1+x1,2+x1,3+x1,4+x1,5</t>
  </si>
  <si>
    <t>=</t>
  </si>
  <si>
    <t>At least 1 taxi]</t>
  </si>
  <si>
    <t>Taxis</t>
  </si>
  <si>
    <t>x21+x22+x23+x24+x25</t>
  </si>
  <si>
    <t>x31+x32+x33+x34+x35</t>
  </si>
  <si>
    <t>x41+x42+x43+x44+x45</t>
  </si>
  <si>
    <t>x51+x52+x53+x54+x55</t>
  </si>
  <si>
    <t>x61+x62+x63+x64+x65</t>
  </si>
  <si>
    <t>Decision Variable</t>
  </si>
  <si>
    <t>Store Locs</t>
  </si>
  <si>
    <t>Objective Function (max)</t>
  </si>
  <si>
    <t>Constraints</t>
  </si>
  <si>
    <t>Only 1 of either 1 and 3</t>
  </si>
  <si>
    <t>Revenue at each location</t>
  </si>
  <si>
    <t>Only 1,2,4</t>
  </si>
  <si>
    <t>If location 4 (4,5,6)</t>
  </si>
  <si>
    <t>X4+X5+X6</t>
  </si>
  <si>
    <t>x1+x3</t>
  </si>
  <si>
    <t>x1+x2+x4</t>
  </si>
  <si>
    <t>If location 6 (6,9)</t>
  </si>
  <si>
    <t>If location 7 (6,7,8)</t>
  </si>
  <si>
    <t>If location 8 (8,10)</t>
  </si>
  <si>
    <t>If location 9 (9,10)</t>
  </si>
  <si>
    <t>X6+X9</t>
  </si>
  <si>
    <t>X6+X7+X8</t>
  </si>
  <si>
    <t>X8+X10</t>
  </si>
  <si>
    <t>X9+X10</t>
  </si>
  <si>
    <t>If location 1 (1,3)</t>
  </si>
  <si>
    <t>If location 2(1,2,4)</t>
  </si>
  <si>
    <t>X3+X2+X6+X7</t>
  </si>
  <si>
    <t>FIRESTATION LOCATION</t>
  </si>
  <si>
    <t>DECISION VARS</t>
  </si>
  <si>
    <t>OBJ(MIN)</t>
  </si>
  <si>
    <t>CONSTRAINTS</t>
  </si>
  <si>
    <t>X2+X1+X3+X5</t>
  </si>
  <si>
    <t>x4+x1+x10+x5</t>
  </si>
  <si>
    <t>x5+x4+x8+x2+x6+x1</t>
  </si>
  <si>
    <t>x6+x3+x9+x5+x7</t>
  </si>
  <si>
    <t>x7+x3+x6+x13</t>
  </si>
  <si>
    <t>x8+x5+x11+x4</t>
  </si>
  <si>
    <t>x9+x8+x12+x6</t>
  </si>
  <si>
    <t>x11+x8+x14+x4</t>
  </si>
  <si>
    <t>x12+x9+x11+x15</t>
  </si>
  <si>
    <t>x13+x7+x16+x15</t>
  </si>
  <si>
    <t>x14+x11+x15+x10</t>
  </si>
  <si>
    <t>x16+x15+x13</t>
  </si>
  <si>
    <t>x15+x12+x16+x14</t>
  </si>
  <si>
    <t>&gt;=</t>
  </si>
  <si>
    <t xml:space="preserve">Coverage </t>
  </si>
  <si>
    <t>X1+X2+X4</t>
  </si>
  <si>
    <t xml:space="preserve">Assumption is full-side adjacency </t>
  </si>
  <si>
    <t>x10+x4</t>
  </si>
  <si>
    <t>v</t>
  </si>
  <si>
    <t>Permanent Node Set</t>
  </si>
  <si>
    <t>{1}</t>
  </si>
  <si>
    <t>1-2:16</t>
  </si>
  <si>
    <t>1-4:35</t>
  </si>
  <si>
    <t>1-3:09</t>
  </si>
  <si>
    <t>{1,3}</t>
  </si>
  <si>
    <t>1-3-4:24</t>
  </si>
  <si>
    <t>1-3-6:31</t>
  </si>
  <si>
    <t>{1,2,3}</t>
  </si>
  <si>
    <t>1-2-5:40</t>
  </si>
  <si>
    <t>1-4: 35</t>
  </si>
  <si>
    <t>1-3-4: 24</t>
  </si>
  <si>
    <t>1-3-6: 31</t>
  </si>
  <si>
    <t>{1,2,3,4}</t>
  </si>
  <si>
    <t>1-2-5: 41</t>
  </si>
  <si>
    <t>1-3-4-5: 38</t>
  </si>
  <si>
    <t>1-3-4-7: 43</t>
  </si>
  <si>
    <t>1-3-4-6: 45</t>
  </si>
  <si>
    <t>{1,2,3,4,6}</t>
  </si>
  <si>
    <t>1-2-5:41</t>
  </si>
  <si>
    <t>1-3-4-5:38</t>
  </si>
  <si>
    <t>1-3-6-7:44</t>
  </si>
  <si>
    <t>{1,2,3,4,5,6}</t>
  </si>
  <si>
    <t>1-3-4-7:43</t>
  </si>
  <si>
    <t>1-3-4-5-7: 46</t>
  </si>
  <si>
    <t>1-3-6-6:44</t>
  </si>
  <si>
    <t>{1,2,3,4,5,6,7}</t>
  </si>
  <si>
    <t>Destination path</t>
  </si>
  <si>
    <t>input path- output path= 0 (through 6)</t>
  </si>
  <si>
    <t>input path- output path= 0 (through 5)</t>
  </si>
  <si>
    <t>input path- output path= 0 (through 3)</t>
  </si>
  <si>
    <t>input path- output path= 0 (through 4)</t>
  </si>
  <si>
    <t>node if x12+x24, x25</t>
  </si>
  <si>
    <t>Source to next node x12+x13+x14</t>
  </si>
  <si>
    <t>x47</t>
  </si>
  <si>
    <t>x34</t>
  </si>
  <si>
    <t>x13</t>
  </si>
  <si>
    <t>Minimization</t>
  </si>
  <si>
    <t>x12</t>
  </si>
  <si>
    <t>x14</t>
  </si>
  <si>
    <t>x12+x13+x14=1</t>
  </si>
  <si>
    <t>x67</t>
  </si>
  <si>
    <t>x57</t>
  </si>
  <si>
    <t>x46</t>
  </si>
  <si>
    <t>x45</t>
  </si>
  <si>
    <t>x36</t>
  </si>
  <si>
    <t>x25</t>
  </si>
  <si>
    <t>x24</t>
  </si>
  <si>
    <t>Cannot Exceed collection capacity</t>
  </si>
  <si>
    <t>MaxFlow</t>
  </si>
  <si>
    <t>Additiolnal Constraints is on Max capacity (e.g: G17&lt;=H17)</t>
  </si>
  <si>
    <t>Costs</t>
  </si>
  <si>
    <t>Constraints (inflow=Outflow)</t>
  </si>
  <si>
    <t>Node</t>
  </si>
  <si>
    <t>Max Capacity</t>
  </si>
  <si>
    <t>Optimal Flow</t>
  </si>
  <si>
    <t>To Node</t>
  </si>
  <si>
    <t>From Node</t>
  </si>
  <si>
    <t>Node 9.</t>
  </si>
  <si>
    <t>Node 4</t>
  </si>
  <si>
    <t>Node 8.</t>
  </si>
  <si>
    <t>Node 6.</t>
  </si>
  <si>
    <t>Node 3</t>
  </si>
  <si>
    <t>Node 7.</t>
  </si>
  <si>
    <t>Node 5.</t>
  </si>
  <si>
    <t>Node 2</t>
  </si>
  <si>
    <t>Node 1</t>
  </si>
  <si>
    <t>Stage 4</t>
  </si>
  <si>
    <t>Stage 3</t>
  </si>
  <si>
    <t>Stage 2</t>
  </si>
  <si>
    <t>Stage 1</t>
  </si>
  <si>
    <t>Each plant also incurs a processing cost per unit due to differences in machinery, worker abilities, overhead, and so on.  Dynaco has a limited budget for processing. Dynaco wants to determine the maximum number of units that can be produced and shipped from the beginning of the production process (Stage 1) to the distribution center (Stage 5, node 10) while staying within a budget of $700,000 for processing costs. They need to decide how many units to produce and ship along each arc in the network, respecting the capacity constraints on each branch and the overall budget constraint.</t>
  </si>
  <si>
    <t>The Dynaco Company manufactures a product in five stages. Each stage of the manufacturing process is conducted at a different plant. The following network shows the five different stages  (represented by nodes) and the routes over which the partially completed products are shipped to the various plants at the different stages (represented by branches connecting the nodes). Stage 5 (node 10) is the distribution center where final products are stored. Although each node represents a different plant, plants at the same stage perform the same operation. For example, at stage 2 of the manufacturing process, plants 2, 3, and 4 all perform the same manufacturing operation. The values accompanying the branches indicate the maximum number of units that a particular plant can produce and ship to another plant at the next stage (forward capacity).  Determine the maximum number of units that can be processed through the five-stage manufacturing process and the number of units processed at each plant.</t>
  </si>
  <si>
    <t>35% investment in Good or Fair Ratings</t>
  </si>
  <si>
    <t>At least 50% in bonds w 10yrs maturity</t>
  </si>
  <si>
    <t>25% on Target Inc</t>
  </si>
  <si>
    <t xml:space="preserve">25% on Rogers Comm Inc </t>
  </si>
  <si>
    <t xml:space="preserve">25% on San Diego Gas &amp; Electric </t>
  </si>
  <si>
    <t xml:space="preserve">25% onRoyal Bank of Canada </t>
  </si>
  <si>
    <t>25% onQuanta Services Inc</t>
  </si>
  <si>
    <t>25% on Puget Sound Energy</t>
  </si>
  <si>
    <t>Total Investment Constraint</t>
  </si>
  <si>
    <t>Net Return</t>
  </si>
  <si>
    <t>35% in Quanta, Royal, Rogers</t>
  </si>
  <si>
    <t>65% in Puget, SD, Target</t>
  </si>
  <si>
    <t>50% in Puget, Quanta, SD, Target</t>
  </si>
  <si>
    <t>25% each bond</t>
  </si>
  <si>
    <t>750k</t>
  </si>
  <si>
    <t>Total Investment</t>
  </si>
  <si>
    <t>Target Inc</t>
  </si>
  <si>
    <t xml:space="preserve">Rogers Comm Inc </t>
  </si>
  <si>
    <t xml:space="preserve">San Diego Gas &amp; Electric </t>
  </si>
  <si>
    <t>4 - Fair;</t>
  </si>
  <si>
    <t xml:space="preserve">Royal Bank of Canada </t>
  </si>
  <si>
    <t>3 - Good;</t>
  </si>
  <si>
    <t>Quanta Services Inc</t>
  </si>
  <si>
    <t xml:space="preserve">2 - Very Good; </t>
  </si>
  <si>
    <t>Puget Sound Energy</t>
  </si>
  <si>
    <t>1 - Excellent;</t>
  </si>
  <si>
    <t>Objective</t>
  </si>
  <si>
    <t>Decision Variables</t>
  </si>
  <si>
    <t>Internal rating</t>
  </si>
  <si>
    <t>Years of Maturity</t>
  </si>
  <si>
    <t>Return %</t>
  </si>
  <si>
    <t xml:space="preserve">A financial analyst at Fidelity Investments is assisting a senior client with the investment of $750,000 in liquid cash that yields favorable returns. Bonds issued by corporations are chosen as the first option. There are currently six organizations that issue corporate bonds. Even though the risk is low, given the customer's age, the company decided not to invest more than 25 percent in a single bond. Additionally, at least half of the funds must be invested in long-term bonds with maturities of 10 years or longer. No more than 35% of the total capital should be invested in bonds with Good or Fair ratings.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</si>
</sst>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0_);[Red]\(&quot;$&quot;#,##0\)"/>
    <numFmt numFmtId="43" formatCode="_(* #,##0.00_);_(* \(#,##0.00\);_(* &quot;-&quot;??_);_(@_)"/>
  </numFmts>
  <fonts count="9" x14ac:knownFonts="1">
    <font>
      <sz val="11"/>
      <color theme="1"/>
      <name val="Calibri"/>
      <family val="2"/>
      <scheme val="minor"/>
    </font>
    <font>
      <b/>
      <sz val="11"/>
      <color theme="1"/>
      <name val="Calibri"/>
      <family val="2"/>
      <scheme val="minor"/>
    </font>
    <font>
      <sz val="14"/>
      <color theme="1"/>
      <name val="Calibri"/>
      <family val="2"/>
      <scheme val="minor"/>
    </font>
    <font>
      <sz val="20"/>
      <color theme="1"/>
      <name val="Calibri"/>
      <family val="2"/>
      <scheme val="minor"/>
    </font>
    <font>
      <sz val="8"/>
      <name val="Calibri"/>
      <family val="2"/>
      <scheme val="minor"/>
    </font>
    <font>
      <sz val="11"/>
      <color rgb="FF000000"/>
      <name val="Calibri"/>
      <family val="2"/>
      <scheme val="minor"/>
    </font>
    <font>
      <sz val="11"/>
      <color theme="1"/>
      <name val="Calibri"/>
      <family val="2"/>
      <scheme val="minor"/>
    </font>
    <font>
      <sz val="16"/>
      <color theme="1"/>
      <name val="Calibri"/>
      <family val="2"/>
      <scheme val="minor"/>
    </font>
    <font>
      <b/>
      <sz val="11"/>
      <color rgb="FF000000"/>
      <name val="Calibri"/>
      <family val="2"/>
      <scheme val="minor"/>
    </font>
  </fonts>
  <fills count="17">
    <fill>
      <patternFill patternType="none"/>
    </fill>
    <fill>
      <patternFill patternType="gray125"/>
    </fill>
    <fill>
      <patternFill patternType="solid">
        <fgColor rgb="FFFFFF00"/>
        <bgColor indexed="64"/>
      </patternFill>
    </fill>
    <fill>
      <patternFill patternType="solid">
        <fgColor theme="7" tint="-0.249977111117893"/>
        <bgColor indexed="64"/>
      </patternFill>
    </fill>
    <fill>
      <patternFill patternType="solid">
        <fgColor rgb="FF7030A0"/>
        <bgColor indexed="64"/>
      </patternFill>
    </fill>
    <fill>
      <patternFill patternType="solid">
        <fgColor theme="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39997558519241921"/>
        <bgColor indexed="64"/>
      </patternFill>
    </fill>
    <fill>
      <patternFill patternType="solid">
        <fgColor rgb="FF92D050"/>
        <bgColor indexed="64"/>
      </patternFill>
    </fill>
    <fill>
      <patternFill patternType="solid">
        <fgColor theme="4" tint="0.39997558519241921"/>
        <bgColor indexed="64"/>
      </patternFill>
    </fill>
    <fill>
      <patternFill patternType="solid">
        <fgColor theme="5" tint="-0.249977111117893"/>
        <bgColor indexed="64"/>
      </patternFill>
    </fill>
    <fill>
      <patternFill patternType="solid">
        <fgColor rgb="FFFF0000"/>
        <bgColor indexed="64"/>
      </patternFill>
    </fill>
    <fill>
      <patternFill patternType="solid">
        <fgColor rgb="FF00B050"/>
        <bgColor indexed="64"/>
      </patternFill>
    </fill>
    <fill>
      <patternFill patternType="solid">
        <fgColor theme="9" tint="0.79998168889431442"/>
        <bgColor indexed="64"/>
      </patternFill>
    </fill>
    <fill>
      <patternFill patternType="solid">
        <fgColor theme="3" tint="0.79998168889431442"/>
        <bgColor indexed="64"/>
      </patternFill>
    </fill>
    <fill>
      <patternFill patternType="solid">
        <fgColor theme="5" tint="0.79998168889431442"/>
        <bgColor indexed="64"/>
      </patternFill>
    </fill>
  </fills>
  <borders count="29">
    <border>
      <left/>
      <right/>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s>
  <cellStyleXfs count="2">
    <xf numFmtId="0" fontId="0" fillId="0" borderId="0"/>
    <xf numFmtId="43" fontId="6" fillId="0" borderId="0" applyFont="0" applyFill="0" applyBorder="0" applyAlignment="0" applyProtection="0"/>
  </cellStyleXfs>
  <cellXfs count="96">
    <xf numFmtId="0" fontId="0" fillId="0" borderId="0" xfId="0"/>
    <xf numFmtId="0" fontId="0" fillId="0" borderId="6" xfId="0" applyBorder="1"/>
    <xf numFmtId="0" fontId="1" fillId="6" borderId="0" xfId="0" applyFont="1" applyFill="1"/>
    <xf numFmtId="0" fontId="0" fillId="7" borderId="0" xfId="0" applyFill="1"/>
    <xf numFmtId="0" fontId="1" fillId="0" borderId="0" xfId="0" applyFont="1"/>
    <xf numFmtId="0" fontId="1" fillId="7" borderId="6" xfId="0" applyFont="1" applyFill="1" applyBorder="1"/>
    <xf numFmtId="0" fontId="0" fillId="0" borderId="0" xfId="0" applyAlignment="1">
      <alignment wrapText="1"/>
    </xf>
    <xf numFmtId="0" fontId="0" fillId="0" borderId="0" xfId="0" applyAlignment="1">
      <alignment horizontal="right"/>
    </xf>
    <xf numFmtId="0" fontId="1" fillId="8" borderId="0" xfId="0" applyFont="1" applyFill="1"/>
    <xf numFmtId="0" fontId="0" fillId="2" borderId="6" xfId="0" applyFill="1" applyBorder="1"/>
    <xf numFmtId="0" fontId="3" fillId="4" borderId="6" xfId="0" applyFont="1" applyFill="1" applyBorder="1" applyAlignment="1">
      <alignment horizontal="center" vertical="center"/>
    </xf>
    <xf numFmtId="0" fontId="3" fillId="4" borderId="5" xfId="0" applyFont="1" applyFill="1" applyBorder="1" applyAlignment="1">
      <alignment vertical="center"/>
    </xf>
    <xf numFmtId="0" fontId="3" fillId="13" borderId="16"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5" xfId="0" applyFont="1" applyFill="1" applyBorder="1" applyAlignment="1">
      <alignment horizontal="center" vertical="center"/>
    </xf>
    <xf numFmtId="0" fontId="3" fillId="3" borderId="12" xfId="0" applyFont="1" applyFill="1" applyBorder="1" applyAlignment="1">
      <alignment horizontal="center" vertical="center"/>
    </xf>
    <xf numFmtId="0" fontId="3" fillId="2" borderId="16" xfId="0" applyFont="1" applyFill="1" applyBorder="1" applyAlignment="1">
      <alignment horizontal="center" vertical="center"/>
    </xf>
    <xf numFmtId="0" fontId="3" fillId="10" borderId="5" xfId="0" applyFont="1" applyFill="1" applyBorder="1" applyAlignment="1">
      <alignment horizontal="center" vertical="center"/>
    </xf>
    <xf numFmtId="0" fontId="3" fillId="10" borderId="11" xfId="0" applyFont="1" applyFill="1" applyBorder="1" applyAlignment="1">
      <alignment vertical="center"/>
    </xf>
    <xf numFmtId="0" fontId="5" fillId="0" borderId="0" xfId="0" applyFont="1"/>
    <xf numFmtId="0" fontId="0" fillId="14" borderId="0" xfId="0" applyFill="1"/>
    <xf numFmtId="2" fontId="0" fillId="0" borderId="0" xfId="0" applyNumberFormat="1"/>
    <xf numFmtId="0" fontId="1" fillId="7" borderId="0" xfId="0" applyFont="1" applyFill="1"/>
    <xf numFmtId="0" fontId="0" fillId="0" borderId="0" xfId="0" applyAlignment="1">
      <alignment horizontal="left" wrapText="1"/>
    </xf>
    <xf numFmtId="0" fontId="0" fillId="0" borderId="0" xfId="0" applyAlignment="1">
      <alignment horizontal="left" wrapText="1"/>
    </xf>
    <xf numFmtId="0" fontId="1" fillId="5" borderId="0" xfId="0" applyFont="1" applyFill="1" applyAlignment="1">
      <alignment horizontal="center"/>
    </xf>
    <xf numFmtId="0" fontId="1" fillId="5" borderId="0" xfId="0" applyFont="1" applyFill="1" applyAlignment="1">
      <alignment horizontal="center" textRotation="90" wrapText="1"/>
    </xf>
    <xf numFmtId="0" fontId="1" fillId="7" borderId="0" xfId="0" applyFont="1" applyFill="1" applyAlignment="1">
      <alignment horizontal="center"/>
    </xf>
    <xf numFmtId="0" fontId="2" fillId="0" borderId="3" xfId="0" applyFont="1" applyBorder="1" applyAlignment="1">
      <alignment horizontal="left" wrapText="1"/>
    </xf>
    <xf numFmtId="0" fontId="2" fillId="0" borderId="2" xfId="0" applyFont="1" applyBorder="1" applyAlignment="1">
      <alignment horizontal="left" wrapText="1"/>
    </xf>
    <xf numFmtId="0" fontId="2" fillId="0" borderId="1" xfId="0" applyFont="1" applyBorder="1" applyAlignment="1">
      <alignment horizontal="left" wrapText="1"/>
    </xf>
    <xf numFmtId="0" fontId="3" fillId="4" borderId="12" xfId="0" applyFont="1" applyFill="1" applyBorder="1" applyAlignment="1">
      <alignment horizontal="center" vertical="center"/>
    </xf>
    <xf numFmtId="0" fontId="3" fillId="4" borderId="15" xfId="0" applyFont="1" applyFill="1" applyBorder="1" applyAlignment="1">
      <alignment horizontal="center" vertical="center"/>
    </xf>
    <xf numFmtId="0" fontId="3" fillId="4" borderId="10" xfId="0" applyFont="1" applyFill="1" applyBorder="1" applyAlignment="1">
      <alignment horizontal="center" vertical="center"/>
    </xf>
    <xf numFmtId="0" fontId="3" fillId="4" borderId="6" xfId="0" applyFont="1" applyFill="1" applyBorder="1" applyAlignment="1">
      <alignment horizontal="center" vertical="center"/>
    </xf>
    <xf numFmtId="0" fontId="3" fillId="11" borderId="14" xfId="0" applyFont="1" applyFill="1" applyBorder="1" applyAlignment="1">
      <alignment horizontal="center" vertical="center"/>
    </xf>
    <xf numFmtId="0" fontId="3" fillId="11" borderId="6" xfId="0" applyFont="1" applyFill="1" applyBorder="1" applyAlignment="1">
      <alignment horizontal="center" vertical="center"/>
    </xf>
    <xf numFmtId="0" fontId="3" fillId="11" borderId="4" xfId="0" applyFont="1" applyFill="1" applyBorder="1" applyAlignment="1">
      <alignment horizontal="center" vertical="center"/>
    </xf>
    <xf numFmtId="0" fontId="3" fillId="12" borderId="18" xfId="0" applyFont="1" applyFill="1" applyBorder="1" applyAlignment="1">
      <alignment horizontal="center" vertical="center"/>
    </xf>
    <xf numFmtId="0" fontId="3" fillId="12" borderId="19" xfId="0" applyFont="1" applyFill="1" applyBorder="1" applyAlignment="1">
      <alignment horizontal="center" vertical="center"/>
    </xf>
    <xf numFmtId="0" fontId="3" fillId="12" borderId="20" xfId="0" applyFont="1" applyFill="1" applyBorder="1" applyAlignment="1">
      <alignment horizontal="center" vertical="center"/>
    </xf>
    <xf numFmtId="0" fontId="3" fillId="4" borderId="22" xfId="0" applyFont="1" applyFill="1" applyBorder="1" applyAlignment="1">
      <alignment horizontal="center" vertical="center"/>
    </xf>
    <xf numFmtId="0" fontId="3" fillId="4" borderId="23" xfId="0" applyFont="1" applyFill="1" applyBorder="1" applyAlignment="1">
      <alignment horizontal="center" vertical="center"/>
    </xf>
    <xf numFmtId="0" fontId="3" fillId="4" borderId="24" xfId="0" applyFont="1" applyFill="1" applyBorder="1" applyAlignment="1">
      <alignment horizontal="center" vertical="center"/>
    </xf>
    <xf numFmtId="0" fontId="3" fillId="10" borderId="8" xfId="0" applyFont="1" applyFill="1" applyBorder="1" applyAlignment="1">
      <alignment horizontal="center" vertical="center"/>
    </xf>
    <xf numFmtId="0" fontId="3" fillId="10" borderId="11"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0" fontId="3" fillId="4" borderId="7" xfId="0" applyFont="1" applyFill="1" applyBorder="1" applyAlignment="1">
      <alignment horizontal="center" vertical="center"/>
    </xf>
    <xf numFmtId="0" fontId="3" fillId="4" borderId="9" xfId="0" applyFont="1" applyFill="1" applyBorder="1" applyAlignment="1">
      <alignment horizontal="center" vertical="center"/>
    </xf>
    <xf numFmtId="0" fontId="3" fillId="4" borderId="8" xfId="0" applyFont="1" applyFill="1" applyBorder="1" applyAlignment="1">
      <alignment horizontal="center" vertical="center"/>
    </xf>
    <xf numFmtId="0" fontId="3" fillId="4" borderId="11" xfId="0" applyFont="1" applyFill="1" applyBorder="1" applyAlignment="1">
      <alignment horizontal="center" vertical="center"/>
    </xf>
    <xf numFmtId="0" fontId="3" fillId="4" borderId="13" xfId="0" applyFont="1" applyFill="1" applyBorder="1" applyAlignment="1">
      <alignment horizontal="center" vertical="center"/>
    </xf>
    <xf numFmtId="0" fontId="3" fillId="4" borderId="14" xfId="0" applyFont="1" applyFill="1" applyBorder="1" applyAlignment="1">
      <alignment horizontal="center" vertical="center"/>
    </xf>
    <xf numFmtId="0" fontId="3" fillId="8" borderId="7" xfId="0" applyFont="1" applyFill="1" applyBorder="1" applyAlignment="1">
      <alignment horizontal="center" vertical="center"/>
    </xf>
    <xf numFmtId="0" fontId="3" fillId="8" borderId="17" xfId="0" applyFont="1" applyFill="1" applyBorder="1" applyAlignment="1">
      <alignment horizontal="center" vertical="center"/>
    </xf>
    <xf numFmtId="0" fontId="3" fillId="8" borderId="5" xfId="0" applyFont="1" applyFill="1" applyBorder="1" applyAlignment="1">
      <alignment horizontal="center" vertical="center"/>
    </xf>
    <xf numFmtId="0" fontId="3" fillId="8" borderId="12" xfId="0" applyFont="1" applyFill="1" applyBorder="1" applyAlignment="1">
      <alignment horizontal="center" vertical="center"/>
    </xf>
    <xf numFmtId="0" fontId="3" fillId="4" borderId="25" xfId="0" applyFont="1" applyFill="1" applyBorder="1" applyAlignment="1">
      <alignment horizontal="center" vertical="center"/>
    </xf>
    <xf numFmtId="0" fontId="3" fillId="10" borderId="21" xfId="0" applyFont="1" applyFill="1" applyBorder="1" applyAlignment="1">
      <alignment horizontal="center" vertical="center"/>
    </xf>
    <xf numFmtId="0" fontId="3" fillId="10" borderId="13" xfId="0" applyFont="1" applyFill="1" applyBorder="1" applyAlignment="1">
      <alignment horizontal="center" vertical="center"/>
    </xf>
    <xf numFmtId="0" fontId="3" fillId="10" borderId="0" xfId="0" applyFont="1" applyFill="1" applyAlignment="1">
      <alignment horizontal="center" vertical="center"/>
    </xf>
    <xf numFmtId="0" fontId="1" fillId="9" borderId="0" xfId="0" applyFont="1" applyFill="1" applyAlignment="1">
      <alignment horizontal="center"/>
    </xf>
    <xf numFmtId="0" fontId="1" fillId="9" borderId="13" xfId="0" applyFont="1" applyFill="1" applyBorder="1" applyAlignment="1">
      <alignment horizontal="center"/>
    </xf>
    <xf numFmtId="0" fontId="3" fillId="10" borderId="9" xfId="0" applyFont="1" applyFill="1" applyBorder="1" applyAlignment="1">
      <alignment horizontal="center" vertical="center"/>
    </xf>
    <xf numFmtId="0" fontId="3" fillId="10" borderId="10" xfId="0" applyFont="1" applyFill="1" applyBorder="1" applyAlignment="1">
      <alignment horizontal="center" vertical="center"/>
    </xf>
    <xf numFmtId="0" fontId="0" fillId="2" borderId="14" xfId="0" applyFill="1" applyBorder="1"/>
    <xf numFmtId="0" fontId="1" fillId="0" borderId="6" xfId="0" applyFont="1" applyBorder="1"/>
    <xf numFmtId="0" fontId="1" fillId="0" borderId="6" xfId="0" applyFont="1" applyBorder="1" applyAlignment="1">
      <alignment horizontal="center"/>
    </xf>
    <xf numFmtId="0" fontId="1" fillId="0" borderId="6" xfId="0" applyFont="1" applyBorder="1" applyAlignment="1">
      <alignment horizontal="center"/>
    </xf>
    <xf numFmtId="6" fontId="0" fillId="0" borderId="0" xfId="0" applyNumberFormat="1"/>
    <xf numFmtId="6" fontId="0" fillId="0" borderId="6" xfId="0" applyNumberFormat="1" applyBorder="1"/>
    <xf numFmtId="0" fontId="1" fillId="15" borderId="0" xfId="0" applyFont="1" applyFill="1"/>
    <xf numFmtId="0" fontId="1" fillId="15" borderId="26" xfId="0" applyFont="1" applyFill="1" applyBorder="1"/>
    <xf numFmtId="0" fontId="1" fillId="15" borderId="27" xfId="0" applyFont="1" applyFill="1" applyBorder="1"/>
    <xf numFmtId="0" fontId="1" fillId="15" borderId="28" xfId="0" applyFont="1" applyFill="1" applyBorder="1"/>
    <xf numFmtId="0" fontId="7" fillId="0" borderId="1" xfId="0" applyFont="1" applyBorder="1" applyAlignment="1">
      <alignment horizontal="left" wrapText="1"/>
    </xf>
    <xf numFmtId="0" fontId="7" fillId="0" borderId="2" xfId="0" applyFont="1" applyBorder="1" applyAlignment="1">
      <alignment horizontal="left" wrapText="1"/>
    </xf>
    <xf numFmtId="0" fontId="7" fillId="0" borderId="3" xfId="0" applyFont="1" applyBorder="1" applyAlignment="1">
      <alignment horizontal="left" wrapText="1"/>
    </xf>
    <xf numFmtId="0" fontId="8" fillId="0" borderId="15" xfId="0" applyFont="1" applyBorder="1"/>
    <xf numFmtId="0" fontId="8" fillId="0" borderId="14" xfId="0" applyFont="1" applyBorder="1"/>
    <xf numFmtId="0" fontId="8" fillId="0" borderId="6" xfId="0" applyFont="1" applyBorder="1"/>
    <xf numFmtId="0" fontId="0" fillId="0" borderId="0" xfId="0" applyAlignment="1">
      <alignment vertical="center" wrapText="1"/>
    </xf>
    <xf numFmtId="0" fontId="1" fillId="7" borderId="0" xfId="0" applyFont="1" applyFill="1" applyAlignment="1">
      <alignment wrapText="1"/>
    </xf>
    <xf numFmtId="0" fontId="1" fillId="0" borderId="0" xfId="0" applyFont="1" applyAlignment="1">
      <alignment wrapText="1"/>
    </xf>
    <xf numFmtId="0" fontId="1" fillId="7" borderId="1" xfId="0" applyFont="1" applyFill="1" applyBorder="1" applyAlignment="1">
      <alignment horizontal="center"/>
    </xf>
    <xf numFmtId="0" fontId="1" fillId="7" borderId="2" xfId="0" applyFont="1" applyFill="1" applyBorder="1" applyAlignment="1">
      <alignment horizontal="center"/>
    </xf>
    <xf numFmtId="0" fontId="1" fillId="7" borderId="3" xfId="0" applyFont="1" applyFill="1" applyBorder="1" applyAlignment="1">
      <alignment horizontal="center"/>
    </xf>
    <xf numFmtId="0" fontId="0" fillId="2" borderId="0" xfId="0" applyFill="1"/>
    <xf numFmtId="0" fontId="0" fillId="16" borderId="6" xfId="0" applyFill="1" applyBorder="1"/>
    <xf numFmtId="0" fontId="0" fillId="6" borderId="6" xfId="0" applyFill="1" applyBorder="1"/>
    <xf numFmtId="43" fontId="0" fillId="0" borderId="0" xfId="1" applyFont="1" applyFill="1"/>
    <xf numFmtId="0" fontId="1" fillId="0" borderId="13" xfId="0" applyFont="1" applyBorder="1"/>
    <xf numFmtId="0" fontId="0" fillId="0" borderId="1" xfId="0" applyBorder="1" applyAlignment="1">
      <alignment horizontal="left" wrapText="1"/>
    </xf>
    <xf numFmtId="0" fontId="0" fillId="0" borderId="2" xfId="0" applyBorder="1" applyAlignment="1">
      <alignment horizontal="left" wrapText="1"/>
    </xf>
    <xf numFmtId="0" fontId="0" fillId="0" borderId="3" xfId="0" applyBorder="1" applyAlignment="1">
      <alignment horizontal="left" wrapText="1"/>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3</xdr:col>
      <xdr:colOff>0</xdr:colOff>
      <xdr:row>7</xdr:row>
      <xdr:rowOff>0</xdr:rowOff>
    </xdr:from>
    <xdr:ext cx="4762500" cy="2924175"/>
    <xdr:pic>
      <xdr:nvPicPr>
        <xdr:cNvPr id="2" name="Picture 1" descr="Solved] The Kreeger Grocery Store chain has bough | SolutionInn">
          <a:extLst>
            <a:ext uri="{FF2B5EF4-FFF2-40B4-BE49-F238E27FC236}">
              <a16:creationId xmlns:a16="http://schemas.microsoft.com/office/drawing/2014/main" id="{EAA413B3-3B56-4F0A-884B-F5ED9B9FC80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28800" y="1333500"/>
          <a:ext cx="4762500" cy="29241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2.xml><?xml version="1.0" encoding="utf-8"?>
<xdr:wsDr xmlns:xdr="http://schemas.openxmlformats.org/drawingml/2006/spreadsheetDrawing" xmlns:a="http://schemas.openxmlformats.org/drawingml/2006/main">
  <xdr:twoCellAnchor>
    <xdr:from>
      <xdr:col>9</xdr:col>
      <xdr:colOff>353981</xdr:colOff>
      <xdr:row>30</xdr:row>
      <xdr:rowOff>62205</xdr:rowOff>
    </xdr:from>
    <xdr:to>
      <xdr:col>10</xdr:col>
      <xdr:colOff>350871</xdr:colOff>
      <xdr:row>33</xdr:row>
      <xdr:rowOff>115856</xdr:rowOff>
    </xdr:to>
    <xdr:sp macro="" textlink="">
      <xdr:nvSpPr>
        <xdr:cNvPr id="2" name="Oval 1">
          <a:extLst>
            <a:ext uri="{FF2B5EF4-FFF2-40B4-BE49-F238E27FC236}">
              <a16:creationId xmlns:a16="http://schemas.microsoft.com/office/drawing/2014/main" id="{C7F4A50B-8BD6-424A-860A-B587204F935A}"/>
            </a:ext>
          </a:extLst>
        </xdr:cNvPr>
        <xdr:cNvSpPr/>
      </xdr:nvSpPr>
      <xdr:spPr>
        <a:xfrm>
          <a:off x="7084981" y="5777205"/>
          <a:ext cx="669990" cy="625151"/>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a:t>3</a:t>
          </a:r>
        </a:p>
      </xdr:txBody>
    </xdr:sp>
    <xdr:clientData/>
  </xdr:twoCellAnchor>
  <xdr:twoCellAnchor>
    <xdr:from>
      <xdr:col>6</xdr:col>
      <xdr:colOff>47625</xdr:colOff>
      <xdr:row>22</xdr:row>
      <xdr:rowOff>14167</xdr:rowOff>
    </xdr:from>
    <xdr:to>
      <xdr:col>7</xdr:col>
      <xdr:colOff>44515</xdr:colOff>
      <xdr:row>25</xdr:row>
      <xdr:rowOff>67818</xdr:rowOff>
    </xdr:to>
    <xdr:sp macro="" textlink="">
      <xdr:nvSpPr>
        <xdr:cNvPr id="3" name="Oval 2">
          <a:extLst>
            <a:ext uri="{FF2B5EF4-FFF2-40B4-BE49-F238E27FC236}">
              <a16:creationId xmlns:a16="http://schemas.microsoft.com/office/drawing/2014/main" id="{0517E79B-2EA6-DF45-B821-9A354A680298}"/>
            </a:ext>
          </a:extLst>
        </xdr:cNvPr>
        <xdr:cNvSpPr/>
      </xdr:nvSpPr>
      <xdr:spPr>
        <a:xfrm>
          <a:off x="4759325" y="4205167"/>
          <a:ext cx="669990" cy="625151"/>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a:t>1</a:t>
          </a:r>
        </a:p>
      </xdr:txBody>
    </xdr:sp>
    <xdr:clientData/>
  </xdr:twoCellAnchor>
  <xdr:twoCellAnchor>
    <xdr:from>
      <xdr:col>10</xdr:col>
      <xdr:colOff>47626</xdr:colOff>
      <xdr:row>15</xdr:row>
      <xdr:rowOff>13390</xdr:rowOff>
    </xdr:from>
    <xdr:to>
      <xdr:col>11</xdr:col>
      <xdr:colOff>44516</xdr:colOff>
      <xdr:row>18</xdr:row>
      <xdr:rowOff>67041</xdr:rowOff>
    </xdr:to>
    <xdr:sp macro="" textlink="">
      <xdr:nvSpPr>
        <xdr:cNvPr id="4" name="Oval 3">
          <a:extLst>
            <a:ext uri="{FF2B5EF4-FFF2-40B4-BE49-F238E27FC236}">
              <a16:creationId xmlns:a16="http://schemas.microsoft.com/office/drawing/2014/main" id="{B74D702B-1D10-254D-A5C4-795BA62404E3}"/>
            </a:ext>
          </a:extLst>
        </xdr:cNvPr>
        <xdr:cNvSpPr/>
      </xdr:nvSpPr>
      <xdr:spPr>
        <a:xfrm>
          <a:off x="7451726" y="2870890"/>
          <a:ext cx="669990" cy="625151"/>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a:t>2</a:t>
          </a:r>
        </a:p>
      </xdr:txBody>
    </xdr:sp>
    <xdr:clientData/>
  </xdr:twoCellAnchor>
  <xdr:twoCellAnchor>
    <xdr:from>
      <xdr:col>13</xdr:col>
      <xdr:colOff>545258</xdr:colOff>
      <xdr:row>22</xdr:row>
      <xdr:rowOff>14167</xdr:rowOff>
    </xdr:from>
    <xdr:to>
      <xdr:col>14</xdr:col>
      <xdr:colOff>542148</xdr:colOff>
      <xdr:row>25</xdr:row>
      <xdr:rowOff>67818</xdr:rowOff>
    </xdr:to>
    <xdr:sp macro="" textlink="">
      <xdr:nvSpPr>
        <xdr:cNvPr id="5" name="Oval 4">
          <a:extLst>
            <a:ext uri="{FF2B5EF4-FFF2-40B4-BE49-F238E27FC236}">
              <a16:creationId xmlns:a16="http://schemas.microsoft.com/office/drawing/2014/main" id="{DA800025-3970-C84D-B60E-ADB96B695C67}"/>
            </a:ext>
          </a:extLst>
        </xdr:cNvPr>
        <xdr:cNvSpPr/>
      </xdr:nvSpPr>
      <xdr:spPr>
        <a:xfrm>
          <a:off x="9968658" y="4205167"/>
          <a:ext cx="669990" cy="625151"/>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a:t>4</a:t>
          </a:r>
        </a:p>
      </xdr:txBody>
    </xdr:sp>
    <xdr:clientData/>
  </xdr:twoCellAnchor>
  <xdr:twoCellAnchor>
    <xdr:from>
      <xdr:col>16</xdr:col>
      <xdr:colOff>464393</xdr:colOff>
      <xdr:row>14</xdr:row>
      <xdr:rowOff>114300</xdr:rowOff>
    </xdr:from>
    <xdr:to>
      <xdr:col>17</xdr:col>
      <xdr:colOff>461283</xdr:colOff>
      <xdr:row>17</xdr:row>
      <xdr:rowOff>167951</xdr:rowOff>
    </xdr:to>
    <xdr:sp macro="" textlink="">
      <xdr:nvSpPr>
        <xdr:cNvPr id="6" name="Oval 5">
          <a:extLst>
            <a:ext uri="{FF2B5EF4-FFF2-40B4-BE49-F238E27FC236}">
              <a16:creationId xmlns:a16="http://schemas.microsoft.com/office/drawing/2014/main" id="{17906F45-AD3F-184D-AB19-BFAEFFA6C434}"/>
            </a:ext>
          </a:extLst>
        </xdr:cNvPr>
        <xdr:cNvSpPr/>
      </xdr:nvSpPr>
      <xdr:spPr>
        <a:xfrm>
          <a:off x="11907093" y="2781300"/>
          <a:ext cx="669990" cy="625151"/>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a:t>5</a:t>
          </a:r>
        </a:p>
      </xdr:txBody>
    </xdr:sp>
    <xdr:clientData/>
  </xdr:twoCellAnchor>
  <xdr:twoCellAnchor>
    <xdr:from>
      <xdr:col>18</xdr:col>
      <xdr:colOff>554976</xdr:colOff>
      <xdr:row>20</xdr:row>
      <xdr:rowOff>147735</xdr:rowOff>
    </xdr:from>
    <xdr:to>
      <xdr:col>19</xdr:col>
      <xdr:colOff>551866</xdr:colOff>
      <xdr:row>24</xdr:row>
      <xdr:rowOff>10886</xdr:rowOff>
    </xdr:to>
    <xdr:sp macro="" textlink="">
      <xdr:nvSpPr>
        <xdr:cNvPr id="7" name="Oval 6">
          <a:extLst>
            <a:ext uri="{FF2B5EF4-FFF2-40B4-BE49-F238E27FC236}">
              <a16:creationId xmlns:a16="http://schemas.microsoft.com/office/drawing/2014/main" id="{8D5A49A1-8CE0-9A45-A747-9BAE2EC63948}"/>
            </a:ext>
          </a:extLst>
        </xdr:cNvPr>
        <xdr:cNvSpPr/>
      </xdr:nvSpPr>
      <xdr:spPr>
        <a:xfrm>
          <a:off x="13343876" y="3957735"/>
          <a:ext cx="669990" cy="625151"/>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a:t>7</a:t>
          </a:r>
        </a:p>
      </xdr:txBody>
    </xdr:sp>
    <xdr:clientData/>
  </xdr:twoCellAnchor>
  <xdr:twoCellAnchor>
    <xdr:from>
      <xdr:col>16</xdr:col>
      <xdr:colOff>489275</xdr:colOff>
      <xdr:row>28</xdr:row>
      <xdr:rowOff>139182</xdr:rowOff>
    </xdr:from>
    <xdr:to>
      <xdr:col>17</xdr:col>
      <xdr:colOff>486165</xdr:colOff>
      <xdr:row>32</xdr:row>
      <xdr:rowOff>2333</xdr:rowOff>
    </xdr:to>
    <xdr:sp macro="" textlink="">
      <xdr:nvSpPr>
        <xdr:cNvPr id="8" name="Oval 7">
          <a:extLst>
            <a:ext uri="{FF2B5EF4-FFF2-40B4-BE49-F238E27FC236}">
              <a16:creationId xmlns:a16="http://schemas.microsoft.com/office/drawing/2014/main" id="{F6280F46-8173-F44B-B0E6-179D9F4A8CAA}"/>
            </a:ext>
          </a:extLst>
        </xdr:cNvPr>
        <xdr:cNvSpPr/>
      </xdr:nvSpPr>
      <xdr:spPr>
        <a:xfrm>
          <a:off x="11931975" y="5473182"/>
          <a:ext cx="669990" cy="625151"/>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a:t>6</a:t>
          </a:r>
        </a:p>
      </xdr:txBody>
    </xdr:sp>
    <xdr:clientData/>
  </xdr:twoCellAnchor>
  <xdr:twoCellAnchor>
    <xdr:from>
      <xdr:col>6</xdr:col>
      <xdr:colOff>565297</xdr:colOff>
      <xdr:row>17</xdr:row>
      <xdr:rowOff>165990</xdr:rowOff>
    </xdr:from>
    <xdr:to>
      <xdr:col>10</xdr:col>
      <xdr:colOff>136444</xdr:colOff>
      <xdr:row>22</xdr:row>
      <xdr:rowOff>105718</xdr:rowOff>
    </xdr:to>
    <xdr:cxnSp macro="">
      <xdr:nvCxnSpPr>
        <xdr:cNvPr id="9" name="Straight Connector 8">
          <a:extLst>
            <a:ext uri="{FF2B5EF4-FFF2-40B4-BE49-F238E27FC236}">
              <a16:creationId xmlns:a16="http://schemas.microsoft.com/office/drawing/2014/main" id="{4666661B-EEA2-014C-A899-E41F25DE08F8}"/>
            </a:ext>
          </a:extLst>
        </xdr:cNvPr>
        <xdr:cNvCxnSpPr>
          <a:cxnSpLocks/>
          <a:stCxn id="3" idx="7"/>
          <a:endCxn id="4" idx="3"/>
        </xdr:cNvCxnSpPr>
      </xdr:nvCxnSpPr>
      <xdr:spPr>
        <a:xfrm flipV="1">
          <a:off x="5276997" y="3404490"/>
          <a:ext cx="2263547" cy="892228"/>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44515</xdr:colOff>
      <xdr:row>23</xdr:row>
      <xdr:rowOff>136243</xdr:rowOff>
    </xdr:from>
    <xdr:to>
      <xdr:col>13</xdr:col>
      <xdr:colOff>545258</xdr:colOff>
      <xdr:row>23</xdr:row>
      <xdr:rowOff>136243</xdr:rowOff>
    </xdr:to>
    <xdr:cxnSp macro="">
      <xdr:nvCxnSpPr>
        <xdr:cNvPr id="10" name="Straight Connector 9">
          <a:extLst>
            <a:ext uri="{FF2B5EF4-FFF2-40B4-BE49-F238E27FC236}">
              <a16:creationId xmlns:a16="http://schemas.microsoft.com/office/drawing/2014/main" id="{3B048438-8EA9-B544-9047-4EE9C83C766D}"/>
            </a:ext>
          </a:extLst>
        </xdr:cNvPr>
        <xdr:cNvCxnSpPr>
          <a:cxnSpLocks/>
          <a:stCxn id="3" idx="6"/>
          <a:endCxn id="5" idx="2"/>
        </xdr:cNvCxnSpPr>
      </xdr:nvCxnSpPr>
      <xdr:spPr>
        <a:xfrm>
          <a:off x="5429315" y="4517743"/>
          <a:ext cx="4539343" cy="0"/>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565297</xdr:colOff>
      <xdr:row>24</xdr:row>
      <xdr:rowOff>166767</xdr:rowOff>
    </xdr:from>
    <xdr:to>
      <xdr:col>9</xdr:col>
      <xdr:colOff>532430</xdr:colOff>
      <xdr:row>32</xdr:row>
      <xdr:rowOff>86309</xdr:rowOff>
    </xdr:to>
    <xdr:cxnSp macro="">
      <xdr:nvCxnSpPr>
        <xdr:cNvPr id="11" name="Straight Connector 10">
          <a:extLst>
            <a:ext uri="{FF2B5EF4-FFF2-40B4-BE49-F238E27FC236}">
              <a16:creationId xmlns:a16="http://schemas.microsoft.com/office/drawing/2014/main" id="{447CACF9-C972-DD4F-B3F4-CADE2886BFDF}"/>
            </a:ext>
          </a:extLst>
        </xdr:cNvPr>
        <xdr:cNvCxnSpPr>
          <a:cxnSpLocks/>
          <a:stCxn id="3" idx="5"/>
        </xdr:cNvCxnSpPr>
      </xdr:nvCxnSpPr>
      <xdr:spPr>
        <a:xfrm>
          <a:off x="5276997" y="4738767"/>
          <a:ext cx="1986433" cy="1443542"/>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565298</xdr:colOff>
      <xdr:row>17</xdr:row>
      <xdr:rowOff>165990</xdr:rowOff>
    </xdr:from>
    <xdr:to>
      <xdr:col>14</xdr:col>
      <xdr:colOff>24476</xdr:colOff>
      <xdr:row>22</xdr:row>
      <xdr:rowOff>105718</xdr:rowOff>
    </xdr:to>
    <xdr:cxnSp macro="">
      <xdr:nvCxnSpPr>
        <xdr:cNvPr id="12" name="Straight Connector 11">
          <a:extLst>
            <a:ext uri="{FF2B5EF4-FFF2-40B4-BE49-F238E27FC236}">
              <a16:creationId xmlns:a16="http://schemas.microsoft.com/office/drawing/2014/main" id="{87AB3FA7-983A-EB4B-8FB0-21CD50FFD0CE}"/>
            </a:ext>
          </a:extLst>
        </xdr:cNvPr>
        <xdr:cNvCxnSpPr>
          <a:cxnSpLocks/>
          <a:stCxn id="5" idx="1"/>
          <a:endCxn id="4" idx="5"/>
        </xdr:cNvCxnSpPr>
      </xdr:nvCxnSpPr>
      <xdr:spPr>
        <a:xfrm flipH="1" flipV="1">
          <a:off x="7969398" y="3404490"/>
          <a:ext cx="2151578" cy="892228"/>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44516</xdr:colOff>
      <xdr:row>16</xdr:row>
      <xdr:rowOff>45876</xdr:rowOff>
    </xdr:from>
    <xdr:to>
      <xdr:col>16</xdr:col>
      <xdr:colOff>464393</xdr:colOff>
      <xdr:row>16</xdr:row>
      <xdr:rowOff>135466</xdr:rowOff>
    </xdr:to>
    <xdr:cxnSp macro="">
      <xdr:nvCxnSpPr>
        <xdr:cNvPr id="13" name="Straight Connector 12">
          <a:extLst>
            <a:ext uri="{FF2B5EF4-FFF2-40B4-BE49-F238E27FC236}">
              <a16:creationId xmlns:a16="http://schemas.microsoft.com/office/drawing/2014/main" id="{32139209-4C3B-C74E-AEB5-16A002BC7674}"/>
            </a:ext>
          </a:extLst>
        </xdr:cNvPr>
        <xdr:cNvCxnSpPr>
          <a:cxnSpLocks/>
          <a:stCxn id="6" idx="2"/>
          <a:endCxn id="4" idx="6"/>
        </xdr:cNvCxnSpPr>
      </xdr:nvCxnSpPr>
      <xdr:spPr>
        <a:xfrm flipH="1">
          <a:off x="8121716" y="3093876"/>
          <a:ext cx="3785377" cy="89590"/>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453330</xdr:colOff>
      <xdr:row>17</xdr:row>
      <xdr:rowOff>76400</xdr:rowOff>
    </xdr:from>
    <xdr:to>
      <xdr:col>16</xdr:col>
      <xdr:colOff>553211</xdr:colOff>
      <xdr:row>22</xdr:row>
      <xdr:rowOff>105718</xdr:rowOff>
    </xdr:to>
    <xdr:cxnSp macro="">
      <xdr:nvCxnSpPr>
        <xdr:cNvPr id="14" name="Straight Connector 13">
          <a:extLst>
            <a:ext uri="{FF2B5EF4-FFF2-40B4-BE49-F238E27FC236}">
              <a16:creationId xmlns:a16="http://schemas.microsoft.com/office/drawing/2014/main" id="{DE48F7CF-3100-3043-9758-A7B8B07EE068}"/>
            </a:ext>
          </a:extLst>
        </xdr:cNvPr>
        <xdr:cNvCxnSpPr>
          <a:cxnSpLocks/>
          <a:stCxn id="5" idx="7"/>
          <a:endCxn id="6" idx="3"/>
        </xdr:cNvCxnSpPr>
      </xdr:nvCxnSpPr>
      <xdr:spPr>
        <a:xfrm flipV="1">
          <a:off x="10549830" y="3314900"/>
          <a:ext cx="1446081" cy="981818"/>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372465</xdr:colOff>
      <xdr:row>16</xdr:row>
      <xdr:rowOff>76400</xdr:rowOff>
    </xdr:from>
    <xdr:to>
      <xdr:col>19</xdr:col>
      <xdr:colOff>34194</xdr:colOff>
      <xdr:row>21</xdr:row>
      <xdr:rowOff>48786</xdr:rowOff>
    </xdr:to>
    <xdr:cxnSp macro="">
      <xdr:nvCxnSpPr>
        <xdr:cNvPr id="15" name="Straight Connector 14">
          <a:extLst>
            <a:ext uri="{FF2B5EF4-FFF2-40B4-BE49-F238E27FC236}">
              <a16:creationId xmlns:a16="http://schemas.microsoft.com/office/drawing/2014/main" id="{78085243-926E-1649-9C1F-A7292457D694}"/>
            </a:ext>
          </a:extLst>
        </xdr:cNvPr>
        <xdr:cNvCxnSpPr>
          <a:cxnSpLocks/>
          <a:stCxn id="7" idx="1"/>
          <a:endCxn id="6" idx="5"/>
        </xdr:cNvCxnSpPr>
      </xdr:nvCxnSpPr>
      <xdr:spPr>
        <a:xfrm flipH="1" flipV="1">
          <a:off x="12488265" y="3124400"/>
          <a:ext cx="1007929" cy="924886"/>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402448</xdr:colOff>
      <xdr:row>23</xdr:row>
      <xdr:rowOff>38100</xdr:rowOff>
    </xdr:from>
    <xdr:to>
      <xdr:col>19</xdr:col>
      <xdr:colOff>88900</xdr:colOff>
      <xdr:row>23</xdr:row>
      <xdr:rowOff>148943</xdr:rowOff>
    </xdr:to>
    <xdr:cxnSp macro="">
      <xdr:nvCxnSpPr>
        <xdr:cNvPr id="16" name="Straight Connector 15">
          <a:extLst>
            <a:ext uri="{FF2B5EF4-FFF2-40B4-BE49-F238E27FC236}">
              <a16:creationId xmlns:a16="http://schemas.microsoft.com/office/drawing/2014/main" id="{74B833BF-2264-3C42-9F9A-D4B3D67156A3}"/>
            </a:ext>
          </a:extLst>
        </xdr:cNvPr>
        <xdr:cNvCxnSpPr>
          <a:cxnSpLocks/>
        </xdr:cNvCxnSpPr>
      </xdr:nvCxnSpPr>
      <xdr:spPr>
        <a:xfrm flipH="1">
          <a:off x="11349848" y="4432300"/>
          <a:ext cx="3051952" cy="110843"/>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325471</xdr:colOff>
      <xdr:row>23</xdr:row>
      <xdr:rowOff>128667</xdr:rowOff>
    </xdr:from>
    <xdr:to>
      <xdr:col>13</xdr:col>
      <xdr:colOff>672176</xdr:colOff>
      <xdr:row>31</xdr:row>
      <xdr:rowOff>146181</xdr:rowOff>
    </xdr:to>
    <xdr:cxnSp macro="">
      <xdr:nvCxnSpPr>
        <xdr:cNvPr id="17" name="Straight Connector 16">
          <a:extLst>
            <a:ext uri="{FF2B5EF4-FFF2-40B4-BE49-F238E27FC236}">
              <a16:creationId xmlns:a16="http://schemas.microsoft.com/office/drawing/2014/main" id="{B6B1FA61-F6B7-044C-B987-2DD0C524276F}"/>
            </a:ext>
          </a:extLst>
        </xdr:cNvPr>
        <xdr:cNvCxnSpPr>
          <a:cxnSpLocks/>
        </xdr:cNvCxnSpPr>
      </xdr:nvCxnSpPr>
      <xdr:spPr>
        <a:xfrm flipV="1">
          <a:off x="8580471" y="4522867"/>
          <a:ext cx="2366005" cy="1541514"/>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173153</xdr:colOff>
      <xdr:row>30</xdr:row>
      <xdr:rowOff>165100</xdr:rowOff>
    </xdr:from>
    <xdr:to>
      <xdr:col>16</xdr:col>
      <xdr:colOff>622300</xdr:colOff>
      <xdr:row>33</xdr:row>
      <xdr:rowOff>37005</xdr:rowOff>
    </xdr:to>
    <xdr:cxnSp macro="">
      <xdr:nvCxnSpPr>
        <xdr:cNvPr id="18" name="Straight Connector 17">
          <a:extLst>
            <a:ext uri="{FF2B5EF4-FFF2-40B4-BE49-F238E27FC236}">
              <a16:creationId xmlns:a16="http://schemas.microsoft.com/office/drawing/2014/main" id="{4375BF28-57D8-F746-90F0-826C73ECD0A9}"/>
            </a:ext>
          </a:extLst>
        </xdr:cNvPr>
        <xdr:cNvCxnSpPr>
          <a:cxnSpLocks/>
        </xdr:cNvCxnSpPr>
      </xdr:nvCxnSpPr>
      <xdr:spPr>
        <a:xfrm flipV="1">
          <a:off x="8428153" y="5892800"/>
          <a:ext cx="4487747" cy="443405"/>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397347</xdr:colOff>
      <xdr:row>23</xdr:row>
      <xdr:rowOff>109835</xdr:rowOff>
    </xdr:from>
    <xdr:to>
      <xdr:col>19</xdr:col>
      <xdr:colOff>34194</xdr:colOff>
      <xdr:row>28</xdr:row>
      <xdr:rowOff>40233</xdr:rowOff>
    </xdr:to>
    <xdr:cxnSp macro="">
      <xdr:nvCxnSpPr>
        <xdr:cNvPr id="19" name="Straight Connector 18">
          <a:extLst>
            <a:ext uri="{FF2B5EF4-FFF2-40B4-BE49-F238E27FC236}">
              <a16:creationId xmlns:a16="http://schemas.microsoft.com/office/drawing/2014/main" id="{A7771D12-F6C2-4343-97AC-ED8C4AE0683B}"/>
            </a:ext>
          </a:extLst>
        </xdr:cNvPr>
        <xdr:cNvCxnSpPr>
          <a:cxnSpLocks/>
          <a:stCxn id="8" idx="7"/>
          <a:endCxn id="7" idx="3"/>
        </xdr:cNvCxnSpPr>
      </xdr:nvCxnSpPr>
      <xdr:spPr>
        <a:xfrm flipV="1">
          <a:off x="12513147" y="4491335"/>
          <a:ext cx="983047" cy="882898"/>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453330</xdr:colOff>
      <xdr:row>24</xdr:row>
      <xdr:rowOff>166767</xdr:rowOff>
    </xdr:from>
    <xdr:to>
      <xdr:col>16</xdr:col>
      <xdr:colOff>578093</xdr:colOff>
      <xdr:row>29</xdr:row>
      <xdr:rowOff>40233</xdr:rowOff>
    </xdr:to>
    <xdr:cxnSp macro="">
      <xdr:nvCxnSpPr>
        <xdr:cNvPr id="20" name="Straight Connector 19">
          <a:extLst>
            <a:ext uri="{FF2B5EF4-FFF2-40B4-BE49-F238E27FC236}">
              <a16:creationId xmlns:a16="http://schemas.microsoft.com/office/drawing/2014/main" id="{51052CA8-858A-D345-8F18-43742AA7F0F3}"/>
            </a:ext>
          </a:extLst>
        </xdr:cNvPr>
        <xdr:cNvCxnSpPr>
          <a:cxnSpLocks/>
          <a:stCxn id="5" idx="5"/>
          <a:endCxn id="8" idx="1"/>
        </xdr:cNvCxnSpPr>
      </xdr:nvCxnSpPr>
      <xdr:spPr>
        <a:xfrm>
          <a:off x="10549830" y="4738767"/>
          <a:ext cx="1470963" cy="825966"/>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445522</xdr:colOff>
      <xdr:row>17</xdr:row>
      <xdr:rowOff>67041</xdr:rowOff>
    </xdr:from>
    <xdr:to>
      <xdr:col>8</xdr:col>
      <xdr:colOff>255800</xdr:colOff>
      <xdr:row>19</xdr:row>
      <xdr:rowOff>55373</xdr:rowOff>
    </xdr:to>
    <xdr:sp macro="" textlink="">
      <xdr:nvSpPr>
        <xdr:cNvPr id="21" name="TextBox 52">
          <a:extLst>
            <a:ext uri="{FF2B5EF4-FFF2-40B4-BE49-F238E27FC236}">
              <a16:creationId xmlns:a16="http://schemas.microsoft.com/office/drawing/2014/main" id="{D312948E-07F8-6646-8415-791C23029404}"/>
            </a:ext>
          </a:extLst>
        </xdr:cNvPr>
        <xdr:cNvSpPr txBox="1"/>
      </xdr:nvSpPr>
      <xdr:spPr>
        <a:xfrm>
          <a:off x="5830322" y="3305541"/>
          <a:ext cx="483378" cy="369332"/>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n-US"/>
            <a:t>16</a:t>
          </a:r>
        </a:p>
      </xdr:txBody>
    </xdr:sp>
    <xdr:clientData/>
  </xdr:twoCellAnchor>
  <xdr:twoCellAnchor>
    <xdr:from>
      <xdr:col>11</xdr:col>
      <xdr:colOff>461762</xdr:colOff>
      <xdr:row>27</xdr:row>
      <xdr:rowOff>44067</xdr:rowOff>
    </xdr:from>
    <xdr:to>
      <xdr:col>12</xdr:col>
      <xdr:colOff>272040</xdr:colOff>
      <xdr:row>29</xdr:row>
      <xdr:rowOff>32399</xdr:rowOff>
    </xdr:to>
    <xdr:sp macro="" textlink="">
      <xdr:nvSpPr>
        <xdr:cNvPr id="22" name="TextBox 53">
          <a:extLst>
            <a:ext uri="{FF2B5EF4-FFF2-40B4-BE49-F238E27FC236}">
              <a16:creationId xmlns:a16="http://schemas.microsoft.com/office/drawing/2014/main" id="{6616DB97-5B08-BC44-A590-6A60BDC88FC8}"/>
            </a:ext>
          </a:extLst>
        </xdr:cNvPr>
        <xdr:cNvSpPr txBox="1"/>
      </xdr:nvSpPr>
      <xdr:spPr>
        <a:xfrm>
          <a:off x="8538962" y="5187567"/>
          <a:ext cx="483378" cy="369332"/>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n-US"/>
            <a:t>15</a:t>
          </a:r>
        </a:p>
      </xdr:txBody>
    </xdr:sp>
    <xdr:clientData/>
  </xdr:twoCellAnchor>
  <xdr:twoCellAnchor>
    <xdr:from>
      <xdr:col>7</xdr:col>
      <xdr:colOff>387983</xdr:colOff>
      <xdr:row>26</xdr:row>
      <xdr:rowOff>168866</xdr:rowOff>
    </xdr:from>
    <xdr:to>
      <xdr:col>8</xdr:col>
      <xdr:colOff>198261</xdr:colOff>
      <xdr:row>28</xdr:row>
      <xdr:rowOff>157198</xdr:rowOff>
    </xdr:to>
    <xdr:sp macro="" textlink="">
      <xdr:nvSpPr>
        <xdr:cNvPr id="23" name="TextBox 54">
          <a:extLst>
            <a:ext uri="{FF2B5EF4-FFF2-40B4-BE49-F238E27FC236}">
              <a16:creationId xmlns:a16="http://schemas.microsoft.com/office/drawing/2014/main" id="{C1032F37-4CB6-2040-BBE9-FFF3B07D383E}"/>
            </a:ext>
          </a:extLst>
        </xdr:cNvPr>
        <xdr:cNvSpPr txBox="1"/>
      </xdr:nvSpPr>
      <xdr:spPr>
        <a:xfrm>
          <a:off x="5772783" y="5121866"/>
          <a:ext cx="483378" cy="369332"/>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n-US"/>
            <a:t>9</a:t>
          </a:r>
        </a:p>
      </xdr:txBody>
    </xdr:sp>
    <xdr:clientData/>
  </xdr:twoCellAnchor>
  <xdr:twoCellAnchor>
    <xdr:from>
      <xdr:col>10</xdr:col>
      <xdr:colOff>33451</xdr:colOff>
      <xdr:row>21</xdr:row>
      <xdr:rowOff>173200</xdr:rowOff>
    </xdr:from>
    <xdr:to>
      <xdr:col>10</xdr:col>
      <xdr:colOff>453329</xdr:colOff>
      <xdr:row>23</xdr:row>
      <xdr:rowOff>161532</xdr:rowOff>
    </xdr:to>
    <xdr:sp macro="" textlink="">
      <xdr:nvSpPr>
        <xdr:cNvPr id="24" name="TextBox 55">
          <a:extLst>
            <a:ext uri="{FF2B5EF4-FFF2-40B4-BE49-F238E27FC236}">
              <a16:creationId xmlns:a16="http://schemas.microsoft.com/office/drawing/2014/main" id="{DD52186A-C355-6546-9AD7-F9EEDF9B60AA}"/>
            </a:ext>
          </a:extLst>
        </xdr:cNvPr>
        <xdr:cNvSpPr txBox="1"/>
      </xdr:nvSpPr>
      <xdr:spPr>
        <a:xfrm>
          <a:off x="7437551" y="4173700"/>
          <a:ext cx="419878" cy="369332"/>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n-US"/>
            <a:t>35</a:t>
          </a:r>
        </a:p>
      </xdr:txBody>
    </xdr:sp>
    <xdr:clientData/>
  </xdr:twoCellAnchor>
  <xdr:twoCellAnchor>
    <xdr:from>
      <xdr:col>18</xdr:col>
      <xdr:colOff>135098</xdr:colOff>
      <xdr:row>17</xdr:row>
      <xdr:rowOff>38542</xdr:rowOff>
    </xdr:from>
    <xdr:to>
      <xdr:col>18</xdr:col>
      <xdr:colOff>554976</xdr:colOff>
      <xdr:row>19</xdr:row>
      <xdr:rowOff>26874</xdr:rowOff>
    </xdr:to>
    <xdr:sp macro="" textlink="">
      <xdr:nvSpPr>
        <xdr:cNvPr id="25" name="TextBox 56">
          <a:extLst>
            <a:ext uri="{FF2B5EF4-FFF2-40B4-BE49-F238E27FC236}">
              <a16:creationId xmlns:a16="http://schemas.microsoft.com/office/drawing/2014/main" id="{7BBD2725-5AC6-8347-8FF7-2CE6E5E0A891}"/>
            </a:ext>
          </a:extLst>
        </xdr:cNvPr>
        <xdr:cNvSpPr txBox="1"/>
      </xdr:nvSpPr>
      <xdr:spPr>
        <a:xfrm>
          <a:off x="12923998" y="3277042"/>
          <a:ext cx="419878" cy="369332"/>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n-US"/>
            <a:t>8</a:t>
          </a:r>
        </a:p>
      </xdr:txBody>
    </xdr:sp>
    <xdr:clientData/>
  </xdr:twoCellAnchor>
  <xdr:twoCellAnchor>
    <xdr:from>
      <xdr:col>15</xdr:col>
      <xdr:colOff>86418</xdr:colOff>
      <xdr:row>18</xdr:row>
      <xdr:rowOff>103400</xdr:rowOff>
    </xdr:from>
    <xdr:to>
      <xdr:col>15</xdr:col>
      <xdr:colOff>506296</xdr:colOff>
      <xdr:row>20</xdr:row>
      <xdr:rowOff>91732</xdr:rowOff>
    </xdr:to>
    <xdr:sp macro="" textlink="">
      <xdr:nvSpPr>
        <xdr:cNvPr id="26" name="TextBox 57">
          <a:extLst>
            <a:ext uri="{FF2B5EF4-FFF2-40B4-BE49-F238E27FC236}">
              <a16:creationId xmlns:a16="http://schemas.microsoft.com/office/drawing/2014/main" id="{CFD18582-8993-9E48-B795-2738593BD861}"/>
            </a:ext>
          </a:extLst>
        </xdr:cNvPr>
        <xdr:cNvSpPr txBox="1"/>
      </xdr:nvSpPr>
      <xdr:spPr>
        <a:xfrm>
          <a:off x="10856018" y="3532400"/>
          <a:ext cx="419878" cy="369332"/>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n-US"/>
            <a:t>14</a:t>
          </a:r>
        </a:p>
      </xdr:txBody>
    </xdr:sp>
    <xdr:clientData/>
  </xdr:twoCellAnchor>
  <xdr:twoCellAnchor>
    <xdr:from>
      <xdr:col>16</xdr:col>
      <xdr:colOff>466427</xdr:colOff>
      <xdr:row>21</xdr:row>
      <xdr:rowOff>105141</xdr:rowOff>
    </xdr:from>
    <xdr:to>
      <xdr:col>17</xdr:col>
      <xdr:colOff>276705</xdr:colOff>
      <xdr:row>23</xdr:row>
      <xdr:rowOff>93473</xdr:rowOff>
    </xdr:to>
    <xdr:sp macro="" textlink="">
      <xdr:nvSpPr>
        <xdr:cNvPr id="27" name="TextBox 58">
          <a:extLst>
            <a:ext uri="{FF2B5EF4-FFF2-40B4-BE49-F238E27FC236}">
              <a16:creationId xmlns:a16="http://schemas.microsoft.com/office/drawing/2014/main" id="{792DB736-B6DF-3649-89D9-3ED2BCC5497A}"/>
            </a:ext>
          </a:extLst>
        </xdr:cNvPr>
        <xdr:cNvSpPr txBox="1"/>
      </xdr:nvSpPr>
      <xdr:spPr>
        <a:xfrm>
          <a:off x="11909127" y="4105641"/>
          <a:ext cx="483378" cy="369332"/>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n-US"/>
            <a:t>19</a:t>
          </a:r>
        </a:p>
      </xdr:txBody>
    </xdr:sp>
    <xdr:clientData/>
  </xdr:twoCellAnchor>
  <xdr:twoCellAnchor>
    <xdr:from>
      <xdr:col>13</xdr:col>
      <xdr:colOff>536106</xdr:colOff>
      <xdr:row>14</xdr:row>
      <xdr:rowOff>132581</xdr:rowOff>
    </xdr:from>
    <xdr:to>
      <xdr:col>14</xdr:col>
      <xdr:colOff>346384</xdr:colOff>
      <xdr:row>16</xdr:row>
      <xdr:rowOff>120913</xdr:rowOff>
    </xdr:to>
    <xdr:sp macro="" textlink="">
      <xdr:nvSpPr>
        <xdr:cNvPr id="28" name="TextBox 59">
          <a:extLst>
            <a:ext uri="{FF2B5EF4-FFF2-40B4-BE49-F238E27FC236}">
              <a16:creationId xmlns:a16="http://schemas.microsoft.com/office/drawing/2014/main" id="{087F677F-BFF2-5144-9ECA-87BE88CF7F90}"/>
            </a:ext>
          </a:extLst>
        </xdr:cNvPr>
        <xdr:cNvSpPr txBox="1"/>
      </xdr:nvSpPr>
      <xdr:spPr>
        <a:xfrm>
          <a:off x="9959506" y="2799581"/>
          <a:ext cx="483378" cy="369332"/>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n-US"/>
            <a:t>25</a:t>
          </a:r>
        </a:p>
      </xdr:txBody>
    </xdr:sp>
    <xdr:clientData/>
  </xdr:twoCellAnchor>
  <xdr:twoCellAnchor>
    <xdr:from>
      <xdr:col>13</xdr:col>
      <xdr:colOff>375664</xdr:colOff>
      <xdr:row>30</xdr:row>
      <xdr:rowOff>5585</xdr:rowOff>
    </xdr:from>
    <xdr:to>
      <xdr:col>14</xdr:col>
      <xdr:colOff>185942</xdr:colOff>
      <xdr:row>31</xdr:row>
      <xdr:rowOff>184417</xdr:rowOff>
    </xdr:to>
    <xdr:sp macro="" textlink="">
      <xdr:nvSpPr>
        <xdr:cNvPr id="29" name="TextBox 60">
          <a:extLst>
            <a:ext uri="{FF2B5EF4-FFF2-40B4-BE49-F238E27FC236}">
              <a16:creationId xmlns:a16="http://schemas.microsoft.com/office/drawing/2014/main" id="{4D829F26-2258-574F-81E4-8155E66C4720}"/>
            </a:ext>
          </a:extLst>
        </xdr:cNvPr>
        <xdr:cNvSpPr txBox="1"/>
      </xdr:nvSpPr>
      <xdr:spPr>
        <a:xfrm>
          <a:off x="9799064" y="5720585"/>
          <a:ext cx="483378" cy="369332"/>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n-US"/>
            <a:t>22</a:t>
          </a:r>
        </a:p>
      </xdr:txBody>
    </xdr:sp>
    <xdr:clientData/>
  </xdr:twoCellAnchor>
  <xdr:twoCellAnchor>
    <xdr:from>
      <xdr:col>17</xdr:col>
      <xdr:colOff>424138</xdr:colOff>
      <xdr:row>24</xdr:row>
      <xdr:rowOff>55889</xdr:rowOff>
    </xdr:from>
    <xdr:to>
      <xdr:col>18</xdr:col>
      <xdr:colOff>234416</xdr:colOff>
      <xdr:row>26</xdr:row>
      <xdr:rowOff>44221</xdr:rowOff>
    </xdr:to>
    <xdr:sp macro="" textlink="">
      <xdr:nvSpPr>
        <xdr:cNvPr id="30" name="TextBox 61">
          <a:extLst>
            <a:ext uri="{FF2B5EF4-FFF2-40B4-BE49-F238E27FC236}">
              <a16:creationId xmlns:a16="http://schemas.microsoft.com/office/drawing/2014/main" id="{57B7C351-47BA-EC49-915E-E46E3D064875}"/>
            </a:ext>
          </a:extLst>
        </xdr:cNvPr>
        <xdr:cNvSpPr txBox="1"/>
      </xdr:nvSpPr>
      <xdr:spPr>
        <a:xfrm>
          <a:off x="12539938" y="4627889"/>
          <a:ext cx="483378" cy="369332"/>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n-US"/>
            <a:t>14</a:t>
          </a:r>
        </a:p>
      </xdr:txBody>
    </xdr:sp>
    <xdr:clientData/>
  </xdr:twoCellAnchor>
  <xdr:twoCellAnchor>
    <xdr:from>
      <xdr:col>12</xdr:col>
      <xdr:colOff>272040</xdr:colOff>
      <xdr:row>18</xdr:row>
      <xdr:rowOff>121572</xdr:rowOff>
    </xdr:from>
    <xdr:to>
      <xdr:col>13</xdr:col>
      <xdr:colOff>82318</xdr:colOff>
      <xdr:row>20</xdr:row>
      <xdr:rowOff>109904</xdr:rowOff>
    </xdr:to>
    <xdr:sp macro="" textlink="">
      <xdr:nvSpPr>
        <xdr:cNvPr id="31" name="TextBox 44">
          <a:extLst>
            <a:ext uri="{FF2B5EF4-FFF2-40B4-BE49-F238E27FC236}">
              <a16:creationId xmlns:a16="http://schemas.microsoft.com/office/drawing/2014/main" id="{9E9185E7-2BAD-5848-BCCB-7FF8F348B0B6}"/>
            </a:ext>
          </a:extLst>
        </xdr:cNvPr>
        <xdr:cNvSpPr txBox="1"/>
      </xdr:nvSpPr>
      <xdr:spPr>
        <a:xfrm>
          <a:off x="9022340" y="3550572"/>
          <a:ext cx="483378" cy="369332"/>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n-US"/>
            <a:t>12</a:t>
          </a:r>
        </a:p>
      </xdr:txBody>
    </xdr:sp>
    <xdr:clientData/>
  </xdr:twoCellAnchor>
  <xdr:twoCellAnchor>
    <xdr:from>
      <xdr:col>15</xdr:col>
      <xdr:colOff>429120</xdr:colOff>
      <xdr:row>25</xdr:row>
      <xdr:rowOff>66673</xdr:rowOff>
    </xdr:from>
    <xdr:to>
      <xdr:col>16</xdr:col>
      <xdr:colOff>239398</xdr:colOff>
      <xdr:row>27</xdr:row>
      <xdr:rowOff>55005</xdr:rowOff>
    </xdr:to>
    <xdr:sp macro="" textlink="">
      <xdr:nvSpPr>
        <xdr:cNvPr id="32" name="TextBox 31">
          <a:extLst>
            <a:ext uri="{FF2B5EF4-FFF2-40B4-BE49-F238E27FC236}">
              <a16:creationId xmlns:a16="http://schemas.microsoft.com/office/drawing/2014/main" id="{8BF824BF-4313-BD46-A394-35ACA3B6F33A}"/>
            </a:ext>
          </a:extLst>
        </xdr:cNvPr>
        <xdr:cNvSpPr txBox="1"/>
      </xdr:nvSpPr>
      <xdr:spPr>
        <a:xfrm>
          <a:off x="11198720" y="4829173"/>
          <a:ext cx="483378" cy="369332"/>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n-US"/>
            <a:t>17</a:t>
          </a:r>
        </a:p>
      </xdr:txBody>
    </xdr:sp>
    <xdr:clientData/>
  </xdr:twoCellAnchor>
</xdr:wsDr>
</file>

<file path=xl/drawings/drawing3.xml><?xml version="1.0" encoding="utf-8"?>
<xdr:wsDr xmlns:xdr="http://schemas.openxmlformats.org/drawingml/2006/spreadsheetDrawing" xmlns:a="http://schemas.openxmlformats.org/drawingml/2006/main">
  <xdr:oneCellAnchor>
    <xdr:from>
      <xdr:col>11</xdr:col>
      <xdr:colOff>366062</xdr:colOff>
      <xdr:row>14</xdr:row>
      <xdr:rowOff>127000</xdr:rowOff>
    </xdr:from>
    <xdr:ext cx="4736164" cy="2682875"/>
    <xdr:pic>
      <xdr:nvPicPr>
        <xdr:cNvPr id="2" name="Picture 1">
          <a:extLst>
            <a:ext uri="{FF2B5EF4-FFF2-40B4-BE49-F238E27FC236}">
              <a16:creationId xmlns:a16="http://schemas.microsoft.com/office/drawing/2014/main" id="{B8D3D82A-3823-1A4E-87E0-D84B1B90B63A}"/>
            </a:ext>
          </a:extLst>
        </xdr:cNvPr>
        <xdr:cNvPicPr>
          <a:picLocks noChangeAspect="1"/>
        </xdr:cNvPicPr>
      </xdr:nvPicPr>
      <xdr:blipFill rotWithShape="1">
        <a:blip xmlns:r="http://schemas.openxmlformats.org/officeDocument/2006/relationships" r:embed="rId1"/>
        <a:srcRect l="34118" t="39264" r="31867" b="23045"/>
        <a:stretch/>
      </xdr:blipFill>
      <xdr:spPr>
        <a:xfrm>
          <a:off x="7770162" y="2794000"/>
          <a:ext cx="4736164" cy="2682875"/>
        </a:xfrm>
        <a:prstGeom prst="rect">
          <a:avLst/>
        </a:prstGeom>
      </xdr:spPr>
    </xdr:pic>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F59F0-8880-4A01-97A6-29CFC86513C4}">
  <dimension ref="D1:T43"/>
  <sheetViews>
    <sheetView topLeftCell="B10" workbookViewId="0">
      <selection activeCell="O37" sqref="O37"/>
    </sheetView>
  </sheetViews>
  <sheetFormatPr baseColWidth="10" defaultColWidth="8.83203125" defaultRowHeight="15" x14ac:dyDescent="0.2"/>
  <cols>
    <col min="4" max="4" width="27.6640625" customWidth="1"/>
    <col min="5" max="5" width="15.5" customWidth="1"/>
    <col min="11" max="12" width="12.5" customWidth="1"/>
    <col min="15" max="15" width="10.83203125" customWidth="1"/>
  </cols>
  <sheetData>
    <row r="1" spans="4:20" ht="16" thickBot="1" x14ac:dyDescent="0.25"/>
    <row r="2" spans="4:20" ht="76.5" customHeight="1" thickBot="1" x14ac:dyDescent="0.3">
      <c r="D2" s="28" t="s">
        <v>1</v>
      </c>
      <c r="E2" s="29"/>
      <c r="F2" s="29"/>
      <c r="G2" s="29"/>
      <c r="H2" s="29"/>
      <c r="I2" s="29"/>
      <c r="J2" s="29"/>
      <c r="K2" s="29"/>
      <c r="L2" s="29"/>
      <c r="M2" s="29"/>
      <c r="N2" s="29"/>
      <c r="O2" s="29"/>
      <c r="P2" s="29"/>
      <c r="Q2" s="29"/>
      <c r="R2" s="29"/>
      <c r="S2" s="29"/>
      <c r="T2" s="30"/>
    </row>
    <row r="26" spans="4:14" x14ac:dyDescent="0.2">
      <c r="D26" t="s">
        <v>0</v>
      </c>
    </row>
    <row r="28" spans="4:14" x14ac:dyDescent="0.2">
      <c r="E28" s="4" t="s">
        <v>18</v>
      </c>
    </row>
    <row r="29" spans="4:14" x14ac:dyDescent="0.2">
      <c r="D29" t="s">
        <v>19</v>
      </c>
      <c r="E29">
        <v>1</v>
      </c>
      <c r="F29">
        <v>2</v>
      </c>
      <c r="G29">
        <v>3</v>
      </c>
      <c r="H29">
        <v>4</v>
      </c>
      <c r="I29">
        <v>5</v>
      </c>
      <c r="J29">
        <v>6</v>
      </c>
      <c r="K29">
        <v>7</v>
      </c>
      <c r="L29">
        <v>8</v>
      </c>
      <c r="M29">
        <v>9</v>
      </c>
      <c r="N29">
        <v>10</v>
      </c>
    </row>
    <row r="30" spans="4:14" x14ac:dyDescent="0.2">
      <c r="D30" t="s">
        <v>23</v>
      </c>
      <c r="E30">
        <v>0</v>
      </c>
      <c r="F30">
        <v>1</v>
      </c>
      <c r="G30">
        <v>1</v>
      </c>
      <c r="H30">
        <v>0</v>
      </c>
      <c r="I30">
        <v>1</v>
      </c>
      <c r="J30">
        <v>0</v>
      </c>
      <c r="K30">
        <v>0</v>
      </c>
      <c r="L30">
        <v>1</v>
      </c>
      <c r="M30">
        <v>1</v>
      </c>
      <c r="N30">
        <v>0</v>
      </c>
    </row>
    <row r="31" spans="4:14" x14ac:dyDescent="0.2">
      <c r="D31" s="4" t="s">
        <v>20</v>
      </c>
      <c r="E31" s="3">
        <v>127</v>
      </c>
      <c r="F31" s="3">
        <v>83</v>
      </c>
      <c r="G31" s="3">
        <v>165</v>
      </c>
      <c r="H31" s="3">
        <v>96</v>
      </c>
      <c r="I31" s="3">
        <v>112</v>
      </c>
      <c r="J31" s="3">
        <v>88</v>
      </c>
      <c r="K31" s="3">
        <v>135</v>
      </c>
      <c r="L31" s="3">
        <v>141</v>
      </c>
      <c r="M31" s="3">
        <v>117</v>
      </c>
      <c r="N31" s="3">
        <v>94</v>
      </c>
    </row>
    <row r="32" spans="4:14" x14ac:dyDescent="0.2">
      <c r="E32" s="8">
        <f>SUMPRODUCT(E30:N30,E31:N31)</f>
        <v>618</v>
      </c>
    </row>
    <row r="34" spans="4:20" x14ac:dyDescent="0.2">
      <c r="D34" t="s">
        <v>22</v>
      </c>
      <c r="E34" s="4" t="s">
        <v>21</v>
      </c>
    </row>
    <row r="35" spans="4:20" x14ac:dyDescent="0.2">
      <c r="D35" t="s">
        <v>24</v>
      </c>
      <c r="E35">
        <f>E31+G31</f>
        <v>292</v>
      </c>
      <c r="F35" t="s">
        <v>10</v>
      </c>
      <c r="G35">
        <v>1</v>
      </c>
    </row>
    <row r="36" spans="4:20" x14ac:dyDescent="0.2">
      <c r="E36">
        <v>1</v>
      </c>
      <c r="F36">
        <v>2</v>
      </c>
      <c r="G36">
        <v>3</v>
      </c>
      <c r="H36">
        <v>4</v>
      </c>
      <c r="I36">
        <v>5</v>
      </c>
      <c r="J36">
        <v>6</v>
      </c>
      <c r="K36">
        <v>7</v>
      </c>
      <c r="L36">
        <v>8</v>
      </c>
      <c r="M36">
        <v>9</v>
      </c>
      <c r="N36">
        <v>10</v>
      </c>
      <c r="O36" t="s">
        <v>21</v>
      </c>
    </row>
    <row r="37" spans="4:20" ht="29" customHeight="1" x14ac:dyDescent="0.2">
      <c r="D37" s="6" t="s">
        <v>37</v>
      </c>
      <c r="E37" s="1">
        <v>1</v>
      </c>
      <c r="F37" s="1">
        <v>0</v>
      </c>
      <c r="G37" s="1">
        <v>1</v>
      </c>
      <c r="H37" s="1">
        <v>0</v>
      </c>
      <c r="I37" s="1">
        <v>0</v>
      </c>
      <c r="J37" s="1">
        <v>0</v>
      </c>
      <c r="K37" s="1">
        <v>0</v>
      </c>
      <c r="L37" s="1">
        <v>0</v>
      </c>
      <c r="M37" s="1">
        <v>0</v>
      </c>
      <c r="N37" s="1">
        <v>0</v>
      </c>
      <c r="O37">
        <f>SUMPRODUCT(E37:N37,$E$30:$N$30)</f>
        <v>1</v>
      </c>
      <c r="P37" t="s">
        <v>10</v>
      </c>
      <c r="Q37">
        <v>1</v>
      </c>
      <c r="R37" t="s">
        <v>27</v>
      </c>
      <c r="S37" t="s">
        <v>10</v>
      </c>
      <c r="T37">
        <v>1</v>
      </c>
    </row>
    <row r="38" spans="4:20" x14ac:dyDescent="0.2">
      <c r="D38" t="s">
        <v>38</v>
      </c>
      <c r="E38" s="1">
        <v>1</v>
      </c>
      <c r="F38" s="1">
        <v>1</v>
      </c>
      <c r="G38" s="1">
        <v>0</v>
      </c>
      <c r="H38" s="1">
        <v>1</v>
      </c>
      <c r="I38" s="1">
        <v>0</v>
      </c>
      <c r="J38" s="1">
        <v>0</v>
      </c>
      <c r="K38" s="1">
        <v>0</v>
      </c>
      <c r="L38" s="1">
        <v>0</v>
      </c>
      <c r="M38" s="1">
        <v>0</v>
      </c>
      <c r="N38" s="1">
        <v>0</v>
      </c>
      <c r="O38">
        <f t="shared" ref="O38:O43" si="0">SUMPRODUCT(E38:N38,$E$30:$N$30)</f>
        <v>1</v>
      </c>
      <c r="P38" t="s">
        <v>10</v>
      </c>
      <c r="Q38">
        <v>1</v>
      </c>
      <c r="R38" t="s">
        <v>28</v>
      </c>
      <c r="S38" t="s">
        <v>10</v>
      </c>
      <c r="T38">
        <v>1</v>
      </c>
    </row>
    <row r="39" spans="4:20" x14ac:dyDescent="0.2">
      <c r="D39" t="s">
        <v>25</v>
      </c>
      <c r="E39" s="1">
        <v>0</v>
      </c>
      <c r="F39" s="1">
        <v>0</v>
      </c>
      <c r="G39" s="1">
        <v>0</v>
      </c>
      <c r="H39" s="1">
        <v>1</v>
      </c>
      <c r="I39" s="1">
        <v>1</v>
      </c>
      <c r="J39" s="1">
        <v>1</v>
      </c>
      <c r="K39" s="1">
        <v>0</v>
      </c>
      <c r="L39" s="1">
        <v>0</v>
      </c>
      <c r="M39" s="1">
        <v>0</v>
      </c>
      <c r="N39" s="1">
        <v>0</v>
      </c>
      <c r="O39">
        <f t="shared" si="0"/>
        <v>1</v>
      </c>
      <c r="P39" t="s">
        <v>10</v>
      </c>
      <c r="Q39">
        <v>1</v>
      </c>
      <c r="R39" t="s">
        <v>26</v>
      </c>
      <c r="S39" t="s">
        <v>10</v>
      </c>
      <c r="T39">
        <v>1</v>
      </c>
    </row>
    <row r="40" spans="4:20" x14ac:dyDescent="0.2">
      <c r="D40" t="s">
        <v>29</v>
      </c>
      <c r="E40" s="1">
        <v>0</v>
      </c>
      <c r="F40" s="1">
        <v>0</v>
      </c>
      <c r="G40" s="1">
        <v>0</v>
      </c>
      <c r="H40" s="1">
        <v>0</v>
      </c>
      <c r="I40" s="1">
        <v>0</v>
      </c>
      <c r="J40" s="1">
        <v>1</v>
      </c>
      <c r="K40" s="1">
        <v>0</v>
      </c>
      <c r="L40" s="1">
        <v>0</v>
      </c>
      <c r="M40" s="1">
        <v>1</v>
      </c>
      <c r="N40" s="1">
        <v>0</v>
      </c>
      <c r="O40">
        <f t="shared" si="0"/>
        <v>1</v>
      </c>
      <c r="P40" t="s">
        <v>10</v>
      </c>
      <c r="Q40">
        <v>1</v>
      </c>
      <c r="R40" t="s">
        <v>33</v>
      </c>
      <c r="S40" t="s">
        <v>10</v>
      </c>
      <c r="T40">
        <v>1</v>
      </c>
    </row>
    <row r="41" spans="4:20" x14ac:dyDescent="0.2">
      <c r="D41" t="s">
        <v>30</v>
      </c>
      <c r="E41" s="1">
        <v>0</v>
      </c>
      <c r="F41" s="1">
        <v>0</v>
      </c>
      <c r="G41" s="1">
        <v>0</v>
      </c>
      <c r="H41" s="1">
        <v>0</v>
      </c>
      <c r="I41" s="1">
        <v>0</v>
      </c>
      <c r="J41" s="1">
        <v>1</v>
      </c>
      <c r="K41" s="1">
        <v>1</v>
      </c>
      <c r="L41" s="1">
        <v>1</v>
      </c>
      <c r="M41" s="1">
        <v>0</v>
      </c>
      <c r="N41" s="1">
        <v>0</v>
      </c>
      <c r="O41">
        <f t="shared" si="0"/>
        <v>1</v>
      </c>
      <c r="P41" t="s">
        <v>10</v>
      </c>
      <c r="Q41">
        <v>1</v>
      </c>
      <c r="R41" t="s">
        <v>34</v>
      </c>
      <c r="S41" t="s">
        <v>10</v>
      </c>
      <c r="T41">
        <v>1</v>
      </c>
    </row>
    <row r="42" spans="4:20" x14ac:dyDescent="0.2">
      <c r="D42" t="s">
        <v>31</v>
      </c>
      <c r="E42" s="1">
        <v>0</v>
      </c>
      <c r="F42" s="1">
        <v>0</v>
      </c>
      <c r="G42" s="1">
        <v>0</v>
      </c>
      <c r="H42" s="1">
        <v>0</v>
      </c>
      <c r="I42" s="1">
        <v>0</v>
      </c>
      <c r="J42" s="1">
        <v>0</v>
      </c>
      <c r="K42" s="1">
        <v>0</v>
      </c>
      <c r="L42" s="1">
        <v>1</v>
      </c>
      <c r="M42" s="1">
        <v>0</v>
      </c>
      <c r="N42" s="1">
        <v>1</v>
      </c>
      <c r="O42">
        <f t="shared" si="0"/>
        <v>1</v>
      </c>
      <c r="P42" t="s">
        <v>10</v>
      </c>
      <c r="Q42">
        <v>1</v>
      </c>
      <c r="R42" t="s">
        <v>35</v>
      </c>
      <c r="S42" t="s">
        <v>10</v>
      </c>
      <c r="T42">
        <v>1</v>
      </c>
    </row>
    <row r="43" spans="4:20" x14ac:dyDescent="0.2">
      <c r="D43" t="s">
        <v>32</v>
      </c>
      <c r="E43" s="1">
        <v>0</v>
      </c>
      <c r="F43" s="1">
        <v>0</v>
      </c>
      <c r="G43" s="1">
        <v>0</v>
      </c>
      <c r="H43" s="1">
        <v>0</v>
      </c>
      <c r="I43" s="1">
        <v>0</v>
      </c>
      <c r="J43" s="1">
        <v>0</v>
      </c>
      <c r="K43" s="1">
        <v>0</v>
      </c>
      <c r="L43" s="1">
        <v>0</v>
      </c>
      <c r="M43" s="1">
        <v>1</v>
      </c>
      <c r="N43" s="1">
        <v>1</v>
      </c>
      <c r="O43">
        <f t="shared" si="0"/>
        <v>1</v>
      </c>
      <c r="P43" t="s">
        <v>10</v>
      </c>
      <c r="Q43">
        <v>1</v>
      </c>
      <c r="R43" t="s">
        <v>36</v>
      </c>
      <c r="S43" t="s">
        <v>10</v>
      </c>
      <c r="T43">
        <v>1</v>
      </c>
    </row>
  </sheetData>
  <mergeCells count="1">
    <mergeCell ref="D2:T2"/>
  </mergeCells>
  <phoneticPr fontId="4" type="noConversion"/>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84FA6-3135-43D8-8BD1-EB2AD0066BE2}">
  <dimension ref="A2:T36"/>
  <sheetViews>
    <sheetView topLeftCell="A5" workbookViewId="0">
      <selection activeCell="L26" sqref="L26"/>
    </sheetView>
  </sheetViews>
  <sheetFormatPr baseColWidth="10" defaultColWidth="8.83203125" defaultRowHeight="15" x14ac:dyDescent="0.2"/>
  <cols>
    <col min="1" max="1" width="11.6640625" customWidth="1"/>
    <col min="2" max="2" width="21.6640625" customWidth="1"/>
    <col min="3" max="3" width="14" customWidth="1"/>
    <col min="4" max="4" width="17.83203125" customWidth="1"/>
    <col min="5" max="5" width="12" customWidth="1"/>
  </cols>
  <sheetData>
    <row r="2" spans="4:20" ht="16" thickBot="1" x14ac:dyDescent="0.25"/>
    <row r="3" spans="4:20" ht="66.75" customHeight="1" thickBot="1" x14ac:dyDescent="0.3">
      <c r="E3" s="28" t="s">
        <v>2</v>
      </c>
      <c r="F3" s="29"/>
      <c r="G3" s="29"/>
      <c r="H3" s="29"/>
      <c r="I3" s="29"/>
      <c r="J3" s="29"/>
      <c r="K3" s="29"/>
      <c r="L3" s="29"/>
      <c r="M3" s="29"/>
      <c r="N3" s="29"/>
      <c r="O3" s="29"/>
      <c r="P3" s="29"/>
      <c r="Q3" s="29"/>
      <c r="R3" s="29"/>
      <c r="S3" s="29"/>
      <c r="T3" s="30"/>
    </row>
    <row r="5" spans="4:20" ht="16" thickBot="1" x14ac:dyDescent="0.25"/>
    <row r="6" spans="4:20" ht="27" thickBot="1" x14ac:dyDescent="0.25">
      <c r="F6" s="46">
        <v>1</v>
      </c>
      <c r="G6" s="47"/>
      <c r="H6" s="10">
        <v>2</v>
      </c>
      <c r="I6" s="34">
        <v>3</v>
      </c>
      <c r="J6" s="34"/>
      <c r="L6" s="54"/>
      <c r="M6" s="55"/>
      <c r="N6" s="12"/>
      <c r="O6" s="56"/>
      <c r="P6" s="57"/>
    </row>
    <row r="7" spans="4:20" x14ac:dyDescent="0.2">
      <c r="D7" s="62" t="s">
        <v>60</v>
      </c>
      <c r="E7" s="63"/>
      <c r="F7" s="48">
        <v>4</v>
      </c>
      <c r="G7" s="48">
        <v>5</v>
      </c>
      <c r="H7" s="50"/>
      <c r="I7" s="34">
        <v>6</v>
      </c>
      <c r="J7" s="34">
        <v>7</v>
      </c>
      <c r="L7" s="41"/>
      <c r="M7" s="59"/>
      <c r="N7" s="60"/>
      <c r="O7" s="37"/>
      <c r="P7" s="38"/>
    </row>
    <row r="8" spans="4:20" ht="16" thickBot="1" x14ac:dyDescent="0.25">
      <c r="F8" s="49"/>
      <c r="G8" s="33"/>
      <c r="H8" s="51"/>
      <c r="I8" s="34"/>
      <c r="J8" s="34"/>
      <c r="L8" s="42"/>
      <c r="M8" s="61"/>
      <c r="N8" s="45"/>
      <c r="O8" s="37"/>
      <c r="P8" s="39"/>
    </row>
    <row r="9" spans="4:20" ht="16" thickBot="1" x14ac:dyDescent="0.25">
      <c r="F9" s="33"/>
      <c r="G9" s="50">
        <v>4</v>
      </c>
      <c r="H9" s="31">
        <v>8</v>
      </c>
      <c r="I9" s="34">
        <v>9</v>
      </c>
      <c r="J9" s="34"/>
      <c r="L9" s="58"/>
      <c r="M9" s="41"/>
      <c r="N9" s="44"/>
      <c r="O9" s="37"/>
      <c r="P9" s="40"/>
    </row>
    <row r="10" spans="4:20" x14ac:dyDescent="0.2">
      <c r="F10" s="31">
        <v>10</v>
      </c>
      <c r="G10" s="52"/>
      <c r="H10" s="53"/>
      <c r="I10" s="34"/>
      <c r="J10" s="34">
        <v>13</v>
      </c>
      <c r="L10" s="64"/>
      <c r="M10" s="42"/>
      <c r="N10" s="45"/>
      <c r="O10" s="36"/>
      <c r="P10" s="35"/>
    </row>
    <row r="11" spans="4:20" ht="27" thickBot="1" x14ac:dyDescent="0.25">
      <c r="F11" s="32"/>
      <c r="G11" s="51"/>
      <c r="H11" s="10">
        <v>11</v>
      </c>
      <c r="I11" s="10">
        <v>12</v>
      </c>
      <c r="J11" s="34"/>
      <c r="L11" s="64"/>
      <c r="M11" s="43"/>
      <c r="N11" s="17"/>
      <c r="O11" s="15"/>
      <c r="P11" s="36"/>
    </row>
    <row r="12" spans="4:20" ht="27" thickBot="1" x14ac:dyDescent="0.25">
      <c r="F12" s="33"/>
      <c r="G12" s="11">
        <v>10</v>
      </c>
      <c r="H12" s="10">
        <v>14</v>
      </c>
      <c r="I12" s="10">
        <v>15</v>
      </c>
      <c r="J12" s="10">
        <v>16</v>
      </c>
      <c r="L12" s="65"/>
      <c r="M12" s="18"/>
      <c r="N12" s="13"/>
      <c r="O12" s="16"/>
      <c r="P12" s="14"/>
    </row>
    <row r="17" spans="1:19" x14ac:dyDescent="0.2">
      <c r="B17" t="s">
        <v>40</v>
      </c>
      <c r="D17">
        <v>1</v>
      </c>
      <c r="E17">
        <v>2</v>
      </c>
      <c r="F17">
        <v>3</v>
      </c>
      <c r="G17">
        <v>4</v>
      </c>
      <c r="H17">
        <v>5</v>
      </c>
      <c r="I17">
        <v>6</v>
      </c>
      <c r="J17">
        <v>7</v>
      </c>
      <c r="K17">
        <v>8</v>
      </c>
      <c r="L17">
        <v>9</v>
      </c>
      <c r="M17">
        <v>10</v>
      </c>
      <c r="N17">
        <v>11</v>
      </c>
      <c r="O17">
        <v>12</v>
      </c>
      <c r="P17">
        <v>13</v>
      </c>
      <c r="Q17">
        <v>14</v>
      </c>
      <c r="R17">
        <v>15</v>
      </c>
      <c r="S17">
        <v>16</v>
      </c>
    </row>
    <row r="18" spans="1:19" x14ac:dyDescent="0.2">
      <c r="B18" t="s">
        <v>41</v>
      </c>
      <c r="C18" s="9">
        <v>0</v>
      </c>
      <c r="D18" s="9">
        <v>0</v>
      </c>
      <c r="E18" s="9">
        <v>1</v>
      </c>
      <c r="F18" s="9">
        <v>1</v>
      </c>
      <c r="G18" s="9">
        <v>0</v>
      </c>
      <c r="H18" s="9">
        <v>0</v>
      </c>
      <c r="I18" s="9">
        <v>0</v>
      </c>
      <c r="J18" s="9">
        <v>0</v>
      </c>
      <c r="K18" s="9">
        <v>0</v>
      </c>
      <c r="L18" s="9">
        <v>0</v>
      </c>
      <c r="M18" s="9">
        <v>0</v>
      </c>
      <c r="N18" s="9">
        <v>1</v>
      </c>
      <c r="O18" s="9">
        <v>0</v>
      </c>
      <c r="P18" s="9">
        <v>0</v>
      </c>
      <c r="Q18" s="9">
        <v>1</v>
      </c>
      <c r="R18" s="9">
        <v>0</v>
      </c>
    </row>
    <row r="19" spans="1:19" x14ac:dyDescent="0.2">
      <c r="B19" t="s">
        <v>42</v>
      </c>
      <c r="C19">
        <f>SUM(C21:C36)</f>
        <v>4</v>
      </c>
    </row>
    <row r="20" spans="1:19" x14ac:dyDescent="0.2">
      <c r="E20" s="1" t="s">
        <v>58</v>
      </c>
    </row>
    <row r="21" spans="1:19" ht="15" customHeight="1" x14ac:dyDescent="0.2">
      <c r="A21" t="s">
        <v>43</v>
      </c>
      <c r="B21">
        <v>1</v>
      </c>
      <c r="C21">
        <v>0</v>
      </c>
      <c r="D21" t="s">
        <v>59</v>
      </c>
      <c r="E21" s="1">
        <f>C21+C22+C24+C25</f>
        <v>2</v>
      </c>
      <c r="F21" t="s">
        <v>57</v>
      </c>
      <c r="G21">
        <v>1</v>
      </c>
    </row>
    <row r="22" spans="1:19" ht="15" customHeight="1" x14ac:dyDescent="0.2">
      <c r="B22">
        <v>2</v>
      </c>
      <c r="C22">
        <v>1</v>
      </c>
      <c r="D22" t="s">
        <v>44</v>
      </c>
      <c r="E22" s="1">
        <f>C22+C21+C23+C25</f>
        <v>1</v>
      </c>
      <c r="F22" t="s">
        <v>57</v>
      </c>
      <c r="G22">
        <v>1</v>
      </c>
    </row>
    <row r="23" spans="1:19" ht="15" customHeight="1" x14ac:dyDescent="0.2">
      <c r="B23">
        <v>3</v>
      </c>
      <c r="C23">
        <v>0</v>
      </c>
      <c r="D23" t="s">
        <v>39</v>
      </c>
      <c r="E23" s="1">
        <f>C23+C22+C26+C27</f>
        <v>2</v>
      </c>
      <c r="F23" t="s">
        <v>57</v>
      </c>
      <c r="G23">
        <v>1</v>
      </c>
    </row>
    <row r="24" spans="1:19" ht="15" customHeight="1" x14ac:dyDescent="0.2">
      <c r="B24">
        <v>4</v>
      </c>
      <c r="C24">
        <v>1</v>
      </c>
      <c r="D24" t="s">
        <v>45</v>
      </c>
      <c r="E24" s="1">
        <f>C24+C30+C21+C25+C28+C31</f>
        <v>1</v>
      </c>
      <c r="F24" t="s">
        <v>57</v>
      </c>
      <c r="G24">
        <v>1</v>
      </c>
    </row>
    <row r="25" spans="1:19" ht="15" customHeight="1" x14ac:dyDescent="0.2">
      <c r="B25">
        <v>5</v>
      </c>
      <c r="C25">
        <v>0</v>
      </c>
      <c r="D25" t="s">
        <v>46</v>
      </c>
      <c r="E25" s="1">
        <f>C25+C24+C28+C21+C22+C29+C26</f>
        <v>2</v>
      </c>
      <c r="F25" t="s">
        <v>57</v>
      </c>
      <c r="G25">
        <v>1</v>
      </c>
    </row>
    <row r="26" spans="1:19" x14ac:dyDescent="0.2">
      <c r="B26">
        <v>6</v>
      </c>
      <c r="C26">
        <v>0</v>
      </c>
      <c r="D26" t="s">
        <v>47</v>
      </c>
      <c r="E26" s="1">
        <f>C26+C23+C29+C25+C28+C27</f>
        <v>1</v>
      </c>
      <c r="F26" t="s">
        <v>57</v>
      </c>
      <c r="G26">
        <v>1</v>
      </c>
      <c r="L26" t="s">
        <v>62</v>
      </c>
    </row>
    <row r="27" spans="1:19" x14ac:dyDescent="0.2">
      <c r="B27">
        <v>7</v>
      </c>
      <c r="C27">
        <v>1</v>
      </c>
      <c r="D27" t="s">
        <v>48</v>
      </c>
      <c r="E27" s="1">
        <f>C27+C33+C26+C23</f>
        <v>1</v>
      </c>
      <c r="F27" t="s">
        <v>57</v>
      </c>
      <c r="G27">
        <v>1</v>
      </c>
    </row>
    <row r="28" spans="1:19" x14ac:dyDescent="0.2">
      <c r="B28">
        <v>8</v>
      </c>
      <c r="C28">
        <v>0</v>
      </c>
      <c r="D28" t="s">
        <v>49</v>
      </c>
      <c r="E28" s="1">
        <f>C28+C31+C29+C24+C25</f>
        <v>1</v>
      </c>
      <c r="F28" t="s">
        <v>57</v>
      </c>
      <c r="G28">
        <v>1</v>
      </c>
    </row>
    <row r="29" spans="1:19" x14ac:dyDescent="0.2">
      <c r="B29">
        <v>9</v>
      </c>
      <c r="C29">
        <v>0</v>
      </c>
      <c r="D29" t="s">
        <v>50</v>
      </c>
      <c r="E29" s="1">
        <f>C29+C28+C26+C32+C27+C33</f>
        <v>1</v>
      </c>
      <c r="F29" t="s">
        <v>57</v>
      </c>
      <c r="G29">
        <v>1</v>
      </c>
    </row>
    <row r="30" spans="1:19" x14ac:dyDescent="0.2">
      <c r="B30">
        <v>10</v>
      </c>
      <c r="C30">
        <v>0</v>
      </c>
      <c r="D30" t="s">
        <v>61</v>
      </c>
      <c r="E30" s="1">
        <f>C30+C24+C34</f>
        <v>1</v>
      </c>
      <c r="F30" t="s">
        <v>57</v>
      </c>
      <c r="G30">
        <v>1</v>
      </c>
    </row>
    <row r="31" spans="1:19" x14ac:dyDescent="0.2">
      <c r="B31">
        <v>11</v>
      </c>
      <c r="C31">
        <v>0</v>
      </c>
      <c r="D31" t="s">
        <v>51</v>
      </c>
      <c r="E31" s="1">
        <f>C31+C28+C34+C32+C24</f>
        <v>1</v>
      </c>
      <c r="F31" t="s">
        <v>57</v>
      </c>
      <c r="G31">
        <v>1</v>
      </c>
    </row>
    <row r="32" spans="1:19" x14ac:dyDescent="0.2">
      <c r="B32">
        <v>12</v>
      </c>
      <c r="C32">
        <v>0</v>
      </c>
      <c r="D32" t="s">
        <v>52</v>
      </c>
      <c r="E32" s="1">
        <f>C32+C29+C31+C33+C35</f>
        <v>1</v>
      </c>
      <c r="F32" t="s">
        <v>57</v>
      </c>
      <c r="G32">
        <v>1</v>
      </c>
    </row>
    <row r="33" spans="2:7" x14ac:dyDescent="0.2">
      <c r="B33">
        <v>13</v>
      </c>
      <c r="C33">
        <v>0</v>
      </c>
      <c r="D33" t="s">
        <v>53</v>
      </c>
      <c r="E33" s="1">
        <f>C33+C36+C27+C32</f>
        <v>1</v>
      </c>
      <c r="F33" t="s">
        <v>57</v>
      </c>
      <c r="G33">
        <v>1</v>
      </c>
    </row>
    <row r="34" spans="2:7" x14ac:dyDescent="0.2">
      <c r="B34">
        <v>14</v>
      </c>
      <c r="C34">
        <v>0</v>
      </c>
      <c r="D34" t="s">
        <v>54</v>
      </c>
      <c r="E34" s="1">
        <f>C34+C30+C31+C35</f>
        <v>1</v>
      </c>
      <c r="F34" t="s">
        <v>57</v>
      </c>
      <c r="G34">
        <v>1</v>
      </c>
    </row>
    <row r="35" spans="2:7" x14ac:dyDescent="0.2">
      <c r="B35">
        <v>15</v>
      </c>
      <c r="C35">
        <v>1</v>
      </c>
      <c r="D35" t="s">
        <v>56</v>
      </c>
      <c r="E35" s="1">
        <f>C35+C32+C34+C36</f>
        <v>1</v>
      </c>
      <c r="F35" t="s">
        <v>57</v>
      </c>
      <c r="G35">
        <v>1</v>
      </c>
    </row>
    <row r="36" spans="2:7" x14ac:dyDescent="0.2">
      <c r="B36">
        <v>16</v>
      </c>
      <c r="C36">
        <v>0</v>
      </c>
      <c r="D36" t="s">
        <v>55</v>
      </c>
      <c r="E36" s="1">
        <f>C36+C33+C35</f>
        <v>1</v>
      </c>
      <c r="F36" t="s">
        <v>57</v>
      </c>
      <c r="G36">
        <v>1</v>
      </c>
    </row>
  </sheetData>
  <mergeCells count="24">
    <mergeCell ref="E3:T3"/>
    <mergeCell ref="F6:G6"/>
    <mergeCell ref="I6:J6"/>
    <mergeCell ref="F7:F9"/>
    <mergeCell ref="G7:H8"/>
    <mergeCell ref="I7:I8"/>
    <mergeCell ref="J7:J9"/>
    <mergeCell ref="G9:G11"/>
    <mergeCell ref="H9:H10"/>
    <mergeCell ref="I9:I10"/>
    <mergeCell ref="L6:M6"/>
    <mergeCell ref="O6:P6"/>
    <mergeCell ref="L7:L9"/>
    <mergeCell ref="M7:N8"/>
    <mergeCell ref="D7:E7"/>
    <mergeCell ref="L10:L12"/>
    <mergeCell ref="F10:F12"/>
    <mergeCell ref="J10:J11"/>
    <mergeCell ref="P10:P11"/>
    <mergeCell ref="O7:O8"/>
    <mergeCell ref="P7:P9"/>
    <mergeCell ref="M9:M11"/>
    <mergeCell ref="N9:N10"/>
    <mergeCell ref="O9:O1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0A7FB-18FD-C04A-A4A4-A7EC5E371735}">
  <dimension ref="A1:S32"/>
  <sheetViews>
    <sheetView workbookViewId="0">
      <selection activeCell="P13" sqref="P13"/>
    </sheetView>
  </sheetViews>
  <sheetFormatPr baseColWidth="10" defaultColWidth="8.83203125" defaultRowHeight="15" x14ac:dyDescent="0.2"/>
  <cols>
    <col min="1" max="1" width="12.6640625" customWidth="1"/>
    <col min="2" max="2" width="10.5" customWidth="1"/>
    <col min="4" max="4" width="6.33203125" customWidth="1"/>
    <col min="5" max="5" width="5.6640625" customWidth="1"/>
    <col min="6" max="6" width="5" customWidth="1"/>
    <col min="7" max="7" width="31" customWidth="1"/>
    <col min="8" max="8" width="10.6640625" customWidth="1"/>
  </cols>
  <sheetData>
    <row r="1" spans="1:19" x14ac:dyDescent="0.2">
      <c r="A1" s="4" t="s">
        <v>63</v>
      </c>
    </row>
    <row r="2" spans="1:19" x14ac:dyDescent="0.2">
      <c r="A2" t="s">
        <v>64</v>
      </c>
      <c r="B2" t="s">
        <v>65</v>
      </c>
      <c r="E2" t="s">
        <v>21</v>
      </c>
      <c r="H2" s="1" t="s">
        <v>101</v>
      </c>
      <c r="I2" s="1" t="s">
        <v>99</v>
      </c>
      <c r="J2" s="1" t="s">
        <v>102</v>
      </c>
      <c r="K2" s="1" t="s">
        <v>110</v>
      </c>
      <c r="L2" s="1" t="s">
        <v>109</v>
      </c>
      <c r="M2" s="1" t="s">
        <v>98</v>
      </c>
      <c r="N2" s="1" t="s">
        <v>108</v>
      </c>
      <c r="O2" s="1" t="s">
        <v>107</v>
      </c>
      <c r="P2" s="1" t="s">
        <v>106</v>
      </c>
      <c r="Q2" s="1" t="s">
        <v>97</v>
      </c>
      <c r="R2" s="1" t="s">
        <v>105</v>
      </c>
      <c r="S2" s="1" t="s">
        <v>104</v>
      </c>
    </row>
    <row r="3" spans="1:19" x14ac:dyDescent="0.2">
      <c r="B3" t="s">
        <v>66</v>
      </c>
      <c r="D3" s="21" t="s">
        <v>99</v>
      </c>
      <c r="E3" s="21" t="s">
        <v>103</v>
      </c>
      <c r="F3" s="21"/>
      <c r="H3" s="1">
        <v>16</v>
      </c>
      <c r="I3" s="1">
        <v>9</v>
      </c>
      <c r="J3" s="1">
        <v>35</v>
      </c>
      <c r="K3" s="1">
        <v>12</v>
      </c>
      <c r="L3" s="1">
        <v>25</v>
      </c>
      <c r="M3" s="1">
        <v>15</v>
      </c>
      <c r="N3" s="1">
        <v>22</v>
      </c>
      <c r="O3" s="1">
        <v>14</v>
      </c>
      <c r="P3" s="1">
        <v>17</v>
      </c>
      <c r="Q3" s="1">
        <v>19</v>
      </c>
      <c r="R3" s="1">
        <v>8</v>
      </c>
      <c r="S3" s="1">
        <v>14</v>
      </c>
    </row>
    <row r="4" spans="1:19" x14ac:dyDescent="0.2">
      <c r="B4" s="20" t="s">
        <v>67</v>
      </c>
      <c r="C4" s="20" t="str">
        <f>B4</f>
        <v>1-3:09</v>
      </c>
      <c r="D4" t="s">
        <v>102</v>
      </c>
      <c r="H4" s="9">
        <v>0</v>
      </c>
      <c r="I4" s="9">
        <v>1</v>
      </c>
      <c r="J4" s="9">
        <v>0</v>
      </c>
      <c r="K4" s="9">
        <v>0</v>
      </c>
      <c r="L4" s="9">
        <v>0</v>
      </c>
      <c r="M4" s="9">
        <v>1</v>
      </c>
      <c r="N4" s="9">
        <v>0</v>
      </c>
      <c r="O4" s="9">
        <v>0</v>
      </c>
      <c r="P4" s="9">
        <v>0</v>
      </c>
      <c r="Q4" s="9">
        <v>1</v>
      </c>
      <c r="R4" s="9">
        <v>0</v>
      </c>
      <c r="S4" s="9">
        <v>0</v>
      </c>
    </row>
    <row r="5" spans="1:19" x14ac:dyDescent="0.2">
      <c r="D5" t="s">
        <v>101</v>
      </c>
    </row>
    <row r="6" spans="1:19" x14ac:dyDescent="0.2">
      <c r="H6" s="4" t="s">
        <v>100</v>
      </c>
    </row>
    <row r="7" spans="1:19" x14ac:dyDescent="0.2">
      <c r="A7" s="19" t="s">
        <v>68</v>
      </c>
      <c r="B7" s="20" t="s">
        <v>65</v>
      </c>
      <c r="C7" s="20" t="str">
        <f>B7</f>
        <v>1-2:16</v>
      </c>
      <c r="D7" s="22" t="s">
        <v>99</v>
      </c>
      <c r="E7" s="22" t="s">
        <v>98</v>
      </c>
      <c r="F7" s="22" t="s">
        <v>97</v>
      </c>
      <c r="H7">
        <f>SUMPRODUCT(H3:S3,H4:S4)</f>
        <v>43</v>
      </c>
    </row>
    <row r="8" spans="1:19" x14ac:dyDescent="0.2">
      <c r="B8" t="s">
        <v>66</v>
      </c>
      <c r="D8" s="22">
        <v>1</v>
      </c>
      <c r="E8" s="22">
        <v>1</v>
      </c>
      <c r="F8" s="22">
        <v>1</v>
      </c>
    </row>
    <row r="9" spans="1:19" x14ac:dyDescent="0.2">
      <c r="B9" t="s">
        <v>69</v>
      </c>
      <c r="H9" s="4" t="s">
        <v>21</v>
      </c>
    </row>
    <row r="10" spans="1:19" ht="16" x14ac:dyDescent="0.2">
      <c r="B10" t="s">
        <v>70</v>
      </c>
      <c r="G10" s="6" t="s">
        <v>96</v>
      </c>
      <c r="H10">
        <f>SUM(H4+I4+J4)</f>
        <v>1</v>
      </c>
      <c r="I10" t="s">
        <v>10</v>
      </c>
      <c r="J10">
        <v>1</v>
      </c>
    </row>
    <row r="11" spans="1:19" x14ac:dyDescent="0.2">
      <c r="G11" t="s">
        <v>95</v>
      </c>
      <c r="H11">
        <f>H4</f>
        <v>0</v>
      </c>
      <c r="I11" t="s">
        <v>10</v>
      </c>
      <c r="J11">
        <f>K4+L4</f>
        <v>0</v>
      </c>
    </row>
    <row r="12" spans="1:19" x14ac:dyDescent="0.2">
      <c r="A12" t="s">
        <v>71</v>
      </c>
      <c r="B12" t="s">
        <v>72</v>
      </c>
      <c r="G12" t="s">
        <v>94</v>
      </c>
      <c r="H12">
        <f>J4+K4+M4</f>
        <v>1</v>
      </c>
      <c r="I12" t="s">
        <v>10</v>
      </c>
      <c r="J12">
        <f>O4+P4+Q4</f>
        <v>1</v>
      </c>
    </row>
    <row r="13" spans="1:19" x14ac:dyDescent="0.2">
      <c r="B13" t="s">
        <v>73</v>
      </c>
      <c r="G13" t="s">
        <v>93</v>
      </c>
      <c r="H13">
        <f>I4</f>
        <v>1</v>
      </c>
      <c r="I13" t="s">
        <v>10</v>
      </c>
      <c r="J13">
        <f>M4+N4</f>
        <v>1</v>
      </c>
    </row>
    <row r="14" spans="1:19" x14ac:dyDescent="0.2">
      <c r="B14" s="20" t="s">
        <v>74</v>
      </c>
      <c r="C14" s="20" t="str">
        <f>B14</f>
        <v>1-3-4: 24</v>
      </c>
      <c r="G14" t="s">
        <v>92</v>
      </c>
      <c r="H14">
        <f>L4+O4</f>
        <v>0</v>
      </c>
      <c r="I14" t="s">
        <v>10</v>
      </c>
      <c r="J14">
        <f>R4</f>
        <v>0</v>
      </c>
    </row>
    <row r="15" spans="1:19" x14ac:dyDescent="0.2">
      <c r="B15" t="s">
        <v>75</v>
      </c>
      <c r="G15" t="s">
        <v>91</v>
      </c>
      <c r="H15">
        <f>N4+P4</f>
        <v>0</v>
      </c>
      <c r="I15" t="s">
        <v>10</v>
      </c>
      <c r="J15">
        <f>S4</f>
        <v>0</v>
      </c>
    </row>
    <row r="16" spans="1:19" x14ac:dyDescent="0.2">
      <c r="G16" t="s">
        <v>90</v>
      </c>
      <c r="H16">
        <f>Q4+R4+S4</f>
        <v>1</v>
      </c>
      <c r="I16" t="s">
        <v>10</v>
      </c>
      <c r="J16">
        <v>1</v>
      </c>
    </row>
    <row r="17" spans="1:3" x14ac:dyDescent="0.2">
      <c r="A17" t="s">
        <v>76</v>
      </c>
      <c r="B17" t="s">
        <v>77</v>
      </c>
    </row>
    <row r="18" spans="1:3" x14ac:dyDescent="0.2">
      <c r="B18" t="s">
        <v>78</v>
      </c>
    </row>
    <row r="19" spans="1:3" x14ac:dyDescent="0.2">
      <c r="B19" t="s">
        <v>79</v>
      </c>
    </row>
    <row r="20" spans="1:3" x14ac:dyDescent="0.2">
      <c r="B20" t="s">
        <v>80</v>
      </c>
    </row>
    <row r="21" spans="1:3" x14ac:dyDescent="0.2">
      <c r="B21" s="20" t="s">
        <v>75</v>
      </c>
      <c r="C21" s="20" t="str">
        <f>B21</f>
        <v>1-3-6: 31</v>
      </c>
    </row>
    <row r="23" spans="1:3" x14ac:dyDescent="0.2">
      <c r="A23" t="s">
        <v>81</v>
      </c>
    </row>
    <row r="24" spans="1:3" x14ac:dyDescent="0.2">
      <c r="B24" t="s">
        <v>82</v>
      </c>
    </row>
    <row r="25" spans="1:3" x14ac:dyDescent="0.2">
      <c r="B25" s="20" t="s">
        <v>83</v>
      </c>
      <c r="C25" s="20" t="str">
        <f>B25</f>
        <v>1-3-4-5:38</v>
      </c>
    </row>
    <row r="26" spans="1:3" x14ac:dyDescent="0.2">
      <c r="B26" t="s">
        <v>79</v>
      </c>
    </row>
    <row r="27" spans="1:3" x14ac:dyDescent="0.2">
      <c r="B27" t="s">
        <v>84</v>
      </c>
    </row>
    <row r="28" spans="1:3" x14ac:dyDescent="0.2">
      <c r="A28" t="s">
        <v>85</v>
      </c>
    </row>
    <row r="29" spans="1:3" x14ac:dyDescent="0.2">
      <c r="B29" t="s">
        <v>87</v>
      </c>
    </row>
    <row r="30" spans="1:3" x14ac:dyDescent="0.2">
      <c r="B30" s="20" t="s">
        <v>86</v>
      </c>
      <c r="C30" s="20" t="str">
        <f>B30</f>
        <v>1-3-4-7:43</v>
      </c>
    </row>
    <row r="31" spans="1:3" x14ac:dyDescent="0.2">
      <c r="B31" t="s">
        <v>88</v>
      </c>
    </row>
    <row r="32" spans="1:3" x14ac:dyDescent="0.2">
      <c r="A32" s="22" t="s">
        <v>89</v>
      </c>
      <c r="B32" s="22">
        <v>43</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7CD0E-5975-F84B-AB58-5FF6B8EA84E8}">
  <dimension ref="C3:S33"/>
  <sheetViews>
    <sheetView topLeftCell="A5" workbookViewId="0">
      <selection activeCell="F27" sqref="F27"/>
    </sheetView>
  </sheetViews>
  <sheetFormatPr baseColWidth="10" defaultColWidth="8.83203125" defaultRowHeight="15" x14ac:dyDescent="0.2"/>
  <cols>
    <col min="3" max="3" width="18.5" customWidth="1"/>
    <col min="4" max="4" width="9.33203125" customWidth="1"/>
    <col min="5" max="5" width="11.33203125" customWidth="1"/>
    <col min="6" max="6" width="12" customWidth="1"/>
  </cols>
  <sheetData>
    <row r="3" spans="3:19" ht="16" thickBot="1" x14ac:dyDescent="0.25"/>
    <row r="4" spans="3:19" ht="213" customHeight="1" thickBot="1" x14ac:dyDescent="0.3">
      <c r="C4" s="78" t="s">
        <v>135</v>
      </c>
      <c r="D4" s="77"/>
      <c r="E4" s="77"/>
      <c r="F4" s="77"/>
      <c r="G4" s="77"/>
      <c r="H4" s="77"/>
      <c r="I4" s="77"/>
      <c r="J4" s="77"/>
      <c r="K4" s="77"/>
      <c r="L4" s="77"/>
      <c r="M4" s="77"/>
      <c r="N4" s="77"/>
      <c r="O4" s="77"/>
      <c r="P4" s="77"/>
      <c r="Q4" s="77"/>
      <c r="R4" s="77"/>
      <c r="S4" s="76"/>
    </row>
    <row r="6" spans="3:19" ht="16" thickBot="1" x14ac:dyDescent="0.25"/>
    <row r="7" spans="3:19" ht="129" customHeight="1" thickBot="1" x14ac:dyDescent="0.3">
      <c r="C7" s="78" t="s">
        <v>134</v>
      </c>
      <c r="D7" s="77"/>
      <c r="E7" s="77"/>
      <c r="F7" s="77"/>
      <c r="G7" s="77"/>
      <c r="H7" s="77"/>
      <c r="I7" s="77"/>
      <c r="J7" s="77"/>
      <c r="K7" s="77"/>
      <c r="L7" s="77"/>
      <c r="M7" s="77"/>
      <c r="N7" s="77"/>
      <c r="O7" s="77"/>
      <c r="P7" s="77"/>
      <c r="Q7" s="77"/>
      <c r="R7" s="77"/>
      <c r="S7" s="76"/>
    </row>
    <row r="8" spans="3:19" ht="16" thickBot="1" x14ac:dyDescent="0.25"/>
    <row r="9" spans="3:19" x14ac:dyDescent="0.2">
      <c r="C9" s="75"/>
      <c r="D9" s="74" t="s">
        <v>133</v>
      </c>
      <c r="E9" s="74"/>
      <c r="F9" s="74" t="s">
        <v>132</v>
      </c>
      <c r="G9" s="74"/>
      <c r="H9" s="74" t="s">
        <v>131</v>
      </c>
      <c r="I9" s="74"/>
      <c r="J9" s="73" t="s">
        <v>130</v>
      </c>
      <c r="K9" s="72"/>
    </row>
    <row r="10" spans="3:19" x14ac:dyDescent="0.2">
      <c r="C10" s="1" t="s">
        <v>129</v>
      </c>
      <c r="D10" s="71">
        <v>3</v>
      </c>
      <c r="E10" s="1" t="s">
        <v>128</v>
      </c>
      <c r="F10" s="71">
        <v>3</v>
      </c>
      <c r="G10" s="1" t="s">
        <v>127</v>
      </c>
      <c r="H10" s="71">
        <v>22</v>
      </c>
      <c r="I10" s="1" t="s">
        <v>126</v>
      </c>
      <c r="J10" s="71">
        <v>12</v>
      </c>
      <c r="K10" s="70"/>
    </row>
    <row r="11" spans="3:19" x14ac:dyDescent="0.2">
      <c r="C11" s="1"/>
      <c r="D11" s="1"/>
      <c r="E11" s="1" t="s">
        <v>125</v>
      </c>
      <c r="F11" s="71">
        <v>3</v>
      </c>
      <c r="G11" s="1" t="s">
        <v>124</v>
      </c>
      <c r="H11" s="71">
        <v>19</v>
      </c>
      <c r="I11" s="1" t="s">
        <v>123</v>
      </c>
      <c r="J11" s="71">
        <v>14</v>
      </c>
      <c r="K11" s="70"/>
    </row>
    <row r="12" spans="3:19" x14ac:dyDescent="0.2">
      <c r="C12" s="1"/>
      <c r="D12" s="1"/>
      <c r="E12" s="1" t="s">
        <v>122</v>
      </c>
      <c r="F12" s="71">
        <v>3</v>
      </c>
      <c r="G12" s="1"/>
      <c r="H12" s="1"/>
      <c r="I12" s="1" t="s">
        <v>121</v>
      </c>
      <c r="J12" s="71">
        <v>16</v>
      </c>
      <c r="K12" s="70"/>
    </row>
    <row r="14" spans="3:19" x14ac:dyDescent="0.2">
      <c r="C14" s="67" t="s">
        <v>120</v>
      </c>
      <c r="D14" s="67" t="s">
        <v>119</v>
      </c>
      <c r="E14" s="67" t="s">
        <v>118</v>
      </c>
      <c r="F14" s="67" t="s">
        <v>117</v>
      </c>
      <c r="G14" s="67" t="s">
        <v>116</v>
      </c>
      <c r="H14" s="69" t="s">
        <v>115</v>
      </c>
      <c r="I14" s="69"/>
      <c r="J14" s="69"/>
      <c r="K14" s="68" t="s">
        <v>114</v>
      </c>
      <c r="L14" s="67" t="s">
        <v>113</v>
      </c>
      <c r="M14" s="67"/>
      <c r="N14" s="67"/>
      <c r="O14" s="67"/>
      <c r="P14" s="67"/>
    </row>
    <row r="15" spans="3:19" x14ac:dyDescent="0.2">
      <c r="C15">
        <v>1</v>
      </c>
      <c r="D15">
        <v>2</v>
      </c>
      <c r="E15" s="66">
        <v>7</v>
      </c>
      <c r="F15">
        <v>7</v>
      </c>
      <c r="G15">
        <v>2</v>
      </c>
      <c r="H15">
        <f>E15</f>
        <v>7</v>
      </c>
      <c r="I15" t="s">
        <v>10</v>
      </c>
      <c r="J15">
        <f>E18+E19</f>
        <v>7</v>
      </c>
      <c r="K15">
        <v>3</v>
      </c>
    </row>
    <row r="16" spans="3:19" x14ac:dyDescent="0.2">
      <c r="C16">
        <v>1</v>
      </c>
      <c r="D16">
        <v>3</v>
      </c>
      <c r="E16" s="9">
        <v>10</v>
      </c>
      <c r="F16">
        <v>10</v>
      </c>
      <c r="G16">
        <v>3</v>
      </c>
      <c r="H16">
        <f>E16</f>
        <v>10</v>
      </c>
      <c r="I16" t="s">
        <v>10</v>
      </c>
      <c r="J16">
        <f>E20+E21</f>
        <v>10</v>
      </c>
      <c r="K16">
        <v>3</v>
      </c>
    </row>
    <row r="17" spans="3:12" x14ac:dyDescent="0.2">
      <c r="C17">
        <v>1</v>
      </c>
      <c r="D17">
        <v>4</v>
      </c>
      <c r="E17" s="9">
        <v>0</v>
      </c>
      <c r="F17">
        <v>8</v>
      </c>
      <c r="G17">
        <v>4</v>
      </c>
      <c r="H17">
        <f>E17</f>
        <v>0</v>
      </c>
      <c r="I17" t="s">
        <v>10</v>
      </c>
      <c r="J17">
        <f>E22</f>
        <v>0</v>
      </c>
      <c r="K17">
        <v>3</v>
      </c>
    </row>
    <row r="18" spans="3:12" x14ac:dyDescent="0.2">
      <c r="C18">
        <v>2</v>
      </c>
      <c r="D18">
        <v>5</v>
      </c>
      <c r="E18" s="9">
        <v>1</v>
      </c>
      <c r="F18">
        <v>9</v>
      </c>
      <c r="G18">
        <v>5</v>
      </c>
      <c r="H18">
        <f>E18+E20+E22</f>
        <v>8</v>
      </c>
      <c r="I18" t="s">
        <v>10</v>
      </c>
      <c r="J18">
        <f>E23+E24+E25</f>
        <v>8</v>
      </c>
      <c r="K18">
        <v>3</v>
      </c>
    </row>
    <row r="19" spans="3:12" x14ac:dyDescent="0.2">
      <c r="C19">
        <v>2</v>
      </c>
      <c r="D19">
        <v>6</v>
      </c>
      <c r="E19" s="9">
        <v>6</v>
      </c>
      <c r="F19">
        <v>6</v>
      </c>
      <c r="G19">
        <v>6</v>
      </c>
      <c r="H19">
        <f>E19+E21</f>
        <v>9</v>
      </c>
      <c r="I19" t="s">
        <v>10</v>
      </c>
      <c r="J19">
        <f>E26+E27</f>
        <v>9</v>
      </c>
      <c r="K19">
        <v>3</v>
      </c>
    </row>
    <row r="20" spans="3:12" x14ac:dyDescent="0.2">
      <c r="C20">
        <v>3</v>
      </c>
      <c r="D20">
        <v>5</v>
      </c>
      <c r="E20" s="9">
        <v>7</v>
      </c>
      <c r="F20">
        <v>7</v>
      </c>
      <c r="G20">
        <v>7</v>
      </c>
      <c r="H20">
        <f>E23</f>
        <v>3</v>
      </c>
      <c r="I20" t="s">
        <v>10</v>
      </c>
      <c r="J20">
        <f>E28</f>
        <v>3</v>
      </c>
      <c r="K20">
        <v>22</v>
      </c>
    </row>
    <row r="21" spans="3:12" x14ac:dyDescent="0.2">
      <c r="C21">
        <v>3</v>
      </c>
      <c r="D21">
        <v>6</v>
      </c>
      <c r="E21" s="9">
        <v>3</v>
      </c>
      <c r="F21">
        <v>5</v>
      </c>
      <c r="G21">
        <v>8</v>
      </c>
      <c r="H21">
        <f>E24+E26</f>
        <v>7</v>
      </c>
      <c r="I21" t="s">
        <v>10</v>
      </c>
      <c r="J21">
        <f>E29</f>
        <v>7</v>
      </c>
      <c r="K21">
        <v>3</v>
      </c>
    </row>
    <row r="22" spans="3:12" x14ac:dyDescent="0.2">
      <c r="C22">
        <v>4</v>
      </c>
      <c r="D22">
        <v>5</v>
      </c>
      <c r="E22" s="9">
        <v>0</v>
      </c>
      <c r="F22">
        <v>10</v>
      </c>
      <c r="G22">
        <v>9</v>
      </c>
      <c r="H22">
        <f>E25+E27</f>
        <v>7</v>
      </c>
      <c r="I22" t="s">
        <v>10</v>
      </c>
      <c r="J22">
        <f>E30</f>
        <v>7</v>
      </c>
      <c r="K22">
        <v>22</v>
      </c>
    </row>
    <row r="23" spans="3:12" x14ac:dyDescent="0.2">
      <c r="C23">
        <v>5</v>
      </c>
      <c r="D23">
        <v>7</v>
      </c>
      <c r="E23" s="9">
        <v>3</v>
      </c>
      <c r="F23">
        <v>3</v>
      </c>
      <c r="G23">
        <v>10</v>
      </c>
      <c r="H23">
        <f>E28+E29+E30</f>
        <v>17</v>
      </c>
      <c r="I23" t="s">
        <v>10</v>
      </c>
      <c r="J23">
        <f>E15+E16+E17</f>
        <v>17</v>
      </c>
    </row>
    <row r="24" spans="3:12" x14ac:dyDescent="0.2">
      <c r="C24">
        <v>5</v>
      </c>
      <c r="D24">
        <v>8</v>
      </c>
      <c r="E24" s="9">
        <v>4</v>
      </c>
      <c r="F24">
        <v>4</v>
      </c>
    </row>
    <row r="25" spans="3:12" x14ac:dyDescent="0.2">
      <c r="C25">
        <v>5</v>
      </c>
      <c r="D25">
        <v>9</v>
      </c>
      <c r="E25" s="9">
        <v>1</v>
      </c>
      <c r="F25">
        <v>1</v>
      </c>
    </row>
    <row r="26" spans="3:12" x14ac:dyDescent="0.2">
      <c r="C26">
        <v>6</v>
      </c>
      <c r="D26">
        <v>8</v>
      </c>
      <c r="E26" s="9">
        <v>3</v>
      </c>
      <c r="F26">
        <v>6</v>
      </c>
    </row>
    <row r="27" spans="3:12" x14ac:dyDescent="0.2">
      <c r="C27">
        <v>6</v>
      </c>
      <c r="D27">
        <v>9</v>
      </c>
      <c r="E27" s="9">
        <v>6</v>
      </c>
      <c r="F27">
        <v>8</v>
      </c>
    </row>
    <row r="28" spans="3:12" x14ac:dyDescent="0.2">
      <c r="C28">
        <v>7</v>
      </c>
      <c r="D28">
        <v>10</v>
      </c>
      <c r="E28" s="9">
        <v>3</v>
      </c>
      <c r="F28">
        <v>8</v>
      </c>
    </row>
    <row r="29" spans="3:12" x14ac:dyDescent="0.2">
      <c r="C29">
        <v>8</v>
      </c>
      <c r="D29">
        <v>10</v>
      </c>
      <c r="E29" s="9">
        <v>7</v>
      </c>
      <c r="F29">
        <v>7</v>
      </c>
    </row>
    <row r="30" spans="3:12" x14ac:dyDescent="0.2">
      <c r="C30">
        <v>9</v>
      </c>
      <c r="D30">
        <v>10</v>
      </c>
      <c r="E30" s="9">
        <v>7</v>
      </c>
      <c r="F30">
        <v>7</v>
      </c>
    </row>
    <row r="31" spans="3:12" x14ac:dyDescent="0.2">
      <c r="C31">
        <v>10</v>
      </c>
    </row>
    <row r="32" spans="3:12" x14ac:dyDescent="0.2">
      <c r="C32" t="s">
        <v>112</v>
      </c>
      <c r="E32">
        <f>E28+E29+E30</f>
        <v>17</v>
      </c>
      <c r="J32">
        <f>SUMPRODUCT(E15:E30,K15:K30)</f>
        <v>235</v>
      </c>
      <c r="K32" t="s">
        <v>10</v>
      </c>
      <c r="L32">
        <v>70000</v>
      </c>
    </row>
    <row r="33" spans="3:3" ht="30" customHeight="1" x14ac:dyDescent="0.2">
      <c r="C33" s="6" t="s">
        <v>111</v>
      </c>
    </row>
  </sheetData>
  <mergeCells count="3">
    <mergeCell ref="C4:S4"/>
    <mergeCell ref="C7:S7"/>
    <mergeCell ref="H14:J14"/>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028A20-84FD-CE4B-A0FA-CA98EB01F022}">
  <dimension ref="A3:T31"/>
  <sheetViews>
    <sheetView topLeftCell="A5" workbookViewId="0">
      <selection activeCell="F24" sqref="F24"/>
    </sheetView>
  </sheetViews>
  <sheetFormatPr baseColWidth="10" defaultColWidth="8.83203125" defaultRowHeight="15" x14ac:dyDescent="0.2"/>
  <cols>
    <col min="1" max="1" width="31.5" customWidth="1"/>
    <col min="2" max="2" width="22.83203125" bestFit="1" customWidth="1"/>
    <col min="3" max="3" width="15.6640625" customWidth="1"/>
    <col min="4" max="4" width="16.1640625" bestFit="1" customWidth="1"/>
    <col min="5" max="5" width="13.6640625" bestFit="1" customWidth="1"/>
    <col min="6" max="7" width="17.6640625" customWidth="1"/>
    <col min="9" max="9" width="14" bestFit="1" customWidth="1"/>
  </cols>
  <sheetData>
    <row r="3" spans="1:20" ht="16" thickBot="1" x14ac:dyDescent="0.25"/>
    <row r="4" spans="1:20" ht="55.5" customHeight="1" thickBot="1" x14ac:dyDescent="0.25">
      <c r="A4" s="95" t="s">
        <v>167</v>
      </c>
      <c r="B4" s="94"/>
      <c r="C4" s="94"/>
      <c r="D4" s="94"/>
      <c r="E4" s="94"/>
      <c r="F4" s="94"/>
      <c r="G4" s="94"/>
      <c r="H4" s="94"/>
      <c r="I4" s="94"/>
      <c r="J4" s="94"/>
      <c r="K4" s="94"/>
      <c r="L4" s="94"/>
      <c r="M4" s="94"/>
      <c r="N4" s="94"/>
      <c r="O4" s="94"/>
      <c r="P4" s="94"/>
      <c r="Q4" s="94"/>
      <c r="R4" s="94"/>
      <c r="S4" s="94"/>
      <c r="T4" s="93"/>
    </row>
    <row r="5" spans="1:20" x14ac:dyDescent="0.2">
      <c r="A5" s="23"/>
      <c r="B5" s="23"/>
      <c r="C5" s="23"/>
      <c r="D5" s="23"/>
      <c r="E5" s="23"/>
      <c r="F5" s="23"/>
      <c r="G5" s="23"/>
      <c r="H5" s="23"/>
      <c r="I5" s="23"/>
      <c r="J5" s="23"/>
      <c r="K5" s="23"/>
      <c r="L5" s="23"/>
      <c r="M5" s="23"/>
      <c r="N5" s="23"/>
      <c r="O5" s="23"/>
      <c r="P5" s="23"/>
      <c r="Q5" s="23"/>
      <c r="R5" s="23"/>
      <c r="S5" s="23"/>
      <c r="T5" s="23"/>
    </row>
    <row r="7" spans="1:20" x14ac:dyDescent="0.2">
      <c r="B7" s="1"/>
      <c r="C7" s="67" t="s">
        <v>166</v>
      </c>
      <c r="D7" s="67" t="s">
        <v>165</v>
      </c>
      <c r="E7" s="67" t="s">
        <v>164</v>
      </c>
      <c r="F7" s="92" t="s">
        <v>163</v>
      </c>
      <c r="G7" s="4" t="s">
        <v>162</v>
      </c>
      <c r="I7" t="s">
        <v>161</v>
      </c>
    </row>
    <row r="8" spans="1:20" x14ac:dyDescent="0.2">
      <c r="B8" s="67" t="s">
        <v>160</v>
      </c>
      <c r="C8" s="1">
        <v>8.65</v>
      </c>
      <c r="D8" s="90">
        <v>11</v>
      </c>
      <c r="E8" s="89">
        <v>1</v>
      </c>
      <c r="F8" s="88">
        <v>10000</v>
      </c>
      <c r="G8" s="91">
        <f>F8*(100+C8)/100+F9*(100+C9)/100+F10*(100+C10)/100+F11*(100+C11)/100+F12*(100+C12)/100+F13*(100+C13)/100</f>
        <v>10886.842500000001</v>
      </c>
      <c r="I8" t="s">
        <v>159</v>
      </c>
    </row>
    <row r="9" spans="1:20" x14ac:dyDescent="0.2">
      <c r="B9" s="67" t="s">
        <v>158</v>
      </c>
      <c r="C9" s="1">
        <v>9.5</v>
      </c>
      <c r="D9" s="90">
        <v>10</v>
      </c>
      <c r="E9" s="90">
        <v>3</v>
      </c>
      <c r="F9" s="88">
        <v>2</v>
      </c>
      <c r="I9" t="s">
        <v>157</v>
      </c>
    </row>
    <row r="10" spans="1:20" x14ac:dyDescent="0.2">
      <c r="B10" s="67" t="s">
        <v>156</v>
      </c>
      <c r="C10" s="1">
        <v>10</v>
      </c>
      <c r="D10" s="1">
        <v>6</v>
      </c>
      <c r="E10" s="90">
        <v>4</v>
      </c>
      <c r="F10" s="88">
        <v>3</v>
      </c>
      <c r="I10" t="s">
        <v>155</v>
      </c>
    </row>
    <row r="11" spans="1:20" x14ac:dyDescent="0.2">
      <c r="B11" s="67" t="s">
        <v>154</v>
      </c>
      <c r="C11" s="1">
        <v>8.75</v>
      </c>
      <c r="D11" s="90">
        <v>10</v>
      </c>
      <c r="E11" s="89">
        <v>1</v>
      </c>
      <c r="F11" s="88">
        <v>4</v>
      </c>
    </row>
    <row r="12" spans="1:20" x14ac:dyDescent="0.2">
      <c r="B12" s="67" t="s">
        <v>153</v>
      </c>
      <c r="C12" s="1">
        <v>9.25</v>
      </c>
      <c r="D12" s="1">
        <v>7</v>
      </c>
      <c r="E12" s="90">
        <v>3</v>
      </c>
      <c r="F12" s="88">
        <v>5</v>
      </c>
    </row>
    <row r="13" spans="1:20" x14ac:dyDescent="0.2">
      <c r="B13" s="67" t="s">
        <v>152</v>
      </c>
      <c r="C13" s="1">
        <v>9</v>
      </c>
      <c r="D13" s="90">
        <v>13</v>
      </c>
      <c r="E13" s="89">
        <v>2</v>
      </c>
      <c r="F13" s="88">
        <v>6</v>
      </c>
    </row>
    <row r="14" spans="1:20" x14ac:dyDescent="0.2">
      <c r="F14">
        <f>750000</f>
        <v>750000</v>
      </c>
    </row>
    <row r="15" spans="1:20" ht="16" thickBot="1" x14ac:dyDescent="0.25">
      <c r="E15" t="s">
        <v>151</v>
      </c>
      <c r="F15">
        <f>SUM(F8:F13)</f>
        <v>10020</v>
      </c>
    </row>
    <row r="16" spans="1:20" ht="16" thickBot="1" x14ac:dyDescent="0.25">
      <c r="A16" s="87" t="s">
        <v>21</v>
      </c>
      <c r="B16" s="86"/>
      <c r="C16" s="86"/>
      <c r="D16" s="86"/>
      <c r="E16" s="85"/>
    </row>
    <row r="17" spans="1:5" ht="39" customHeight="1" x14ac:dyDescent="0.2">
      <c r="A17" s="4" t="s">
        <v>150</v>
      </c>
      <c r="B17" s="4" t="s">
        <v>149</v>
      </c>
      <c r="C17" s="84" t="s">
        <v>148</v>
      </c>
      <c r="D17" s="83" t="s">
        <v>147</v>
      </c>
      <c r="E17" s="83" t="s">
        <v>146</v>
      </c>
    </row>
    <row r="20" spans="1:5" x14ac:dyDescent="0.2">
      <c r="A20" t="s">
        <v>145</v>
      </c>
      <c r="B20">
        <f>10000+C8*F8/100</f>
        <v>10865</v>
      </c>
    </row>
    <row r="22" spans="1:5" x14ac:dyDescent="0.2">
      <c r="A22" t="s">
        <v>21</v>
      </c>
    </row>
    <row r="23" spans="1:5" ht="16" customHeight="1" x14ac:dyDescent="0.2">
      <c r="A23" s="82" t="s">
        <v>144</v>
      </c>
      <c r="B23">
        <f>SUM(F8:F13)</f>
        <v>10020</v>
      </c>
      <c r="C23" t="s">
        <v>8</v>
      </c>
      <c r="D23">
        <f>F14</f>
        <v>750000</v>
      </c>
    </row>
    <row r="24" spans="1:5" x14ac:dyDescent="0.2">
      <c r="A24" s="81" t="s">
        <v>143</v>
      </c>
      <c r="B24">
        <f>F8</f>
        <v>10000</v>
      </c>
      <c r="C24" t="s">
        <v>8</v>
      </c>
      <c r="D24">
        <f>0.25*$F$15</f>
        <v>2505</v>
      </c>
    </row>
    <row r="25" spans="1:5" x14ac:dyDescent="0.2">
      <c r="A25" s="80" t="s">
        <v>142</v>
      </c>
      <c r="B25">
        <f>F9</f>
        <v>2</v>
      </c>
      <c r="C25" t="s">
        <v>8</v>
      </c>
      <c r="D25">
        <f>0.25*$F$15</f>
        <v>2505</v>
      </c>
    </row>
    <row r="26" spans="1:5" x14ac:dyDescent="0.2">
      <c r="A26" s="80" t="s">
        <v>141</v>
      </c>
      <c r="B26">
        <f>F10</f>
        <v>3</v>
      </c>
      <c r="C26" t="s">
        <v>8</v>
      </c>
      <c r="D26">
        <f>0.25*$F$15</f>
        <v>2505</v>
      </c>
    </row>
    <row r="27" spans="1:5" x14ac:dyDescent="0.2">
      <c r="A27" s="80" t="s">
        <v>140</v>
      </c>
      <c r="B27">
        <f>F11</f>
        <v>4</v>
      </c>
      <c r="C27" t="s">
        <v>8</v>
      </c>
      <c r="D27">
        <f>0.25*$F$15</f>
        <v>2505</v>
      </c>
    </row>
    <row r="28" spans="1:5" x14ac:dyDescent="0.2">
      <c r="A28" s="80" t="s">
        <v>139</v>
      </c>
      <c r="B28">
        <f>F12</f>
        <v>5</v>
      </c>
      <c r="C28" t="s">
        <v>8</v>
      </c>
      <c r="D28">
        <f>0.25*$F$15</f>
        <v>2505</v>
      </c>
    </row>
    <row r="29" spans="1:5" x14ac:dyDescent="0.2">
      <c r="A29" s="80" t="s">
        <v>138</v>
      </c>
      <c r="B29">
        <f>F13</f>
        <v>6</v>
      </c>
      <c r="C29" t="s">
        <v>8</v>
      </c>
      <c r="D29">
        <f>0.25*$F$15</f>
        <v>2505</v>
      </c>
    </row>
    <row r="30" spans="1:5" x14ac:dyDescent="0.2">
      <c r="A30" s="79" t="s">
        <v>137</v>
      </c>
      <c r="B30">
        <f>F8+F9+F11+F13</f>
        <v>10012</v>
      </c>
      <c r="C30" t="s">
        <v>57</v>
      </c>
      <c r="D30">
        <f>F15/2</f>
        <v>5010</v>
      </c>
    </row>
    <row r="31" spans="1:5" x14ac:dyDescent="0.2">
      <c r="A31" s="79" t="s">
        <v>136</v>
      </c>
      <c r="B31">
        <f>(E9+E10+E12)</f>
        <v>10</v>
      </c>
      <c r="C31" t="s">
        <v>8</v>
      </c>
      <c r="D31">
        <f>0.35*F15</f>
        <v>3507</v>
      </c>
    </row>
  </sheetData>
  <mergeCells count="2">
    <mergeCell ref="A4:T4"/>
    <mergeCell ref="A16:E1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E223-97C4-4D34-8A33-C42C341E6EF3}">
  <dimension ref="A5:K26"/>
  <sheetViews>
    <sheetView tabSelected="1" topLeftCell="A5" workbookViewId="0">
      <selection activeCell="F29" sqref="F29"/>
    </sheetView>
  </sheetViews>
  <sheetFormatPr baseColWidth="10" defaultColWidth="8.83203125" defaultRowHeight="15" x14ac:dyDescent="0.2"/>
  <cols>
    <col min="2" max="2" width="13.1640625" customWidth="1"/>
    <col min="3" max="3" width="19" customWidth="1"/>
    <col min="8" max="8" width="21.6640625" customWidth="1"/>
    <col min="9" max="9" width="12" customWidth="1"/>
    <col min="10" max="10" width="26.5" customWidth="1"/>
  </cols>
  <sheetData>
    <row r="5" spans="1:11" ht="101.25" customHeight="1" x14ac:dyDescent="0.2">
      <c r="B5" s="24" t="s">
        <v>3</v>
      </c>
      <c r="C5" s="24"/>
      <c r="D5" s="24"/>
      <c r="E5" s="24"/>
      <c r="F5" s="24"/>
      <c r="G5" s="24"/>
      <c r="H5" s="24"/>
      <c r="I5" s="24"/>
      <c r="J5" s="24"/>
    </row>
    <row r="7" spans="1:11" x14ac:dyDescent="0.2">
      <c r="C7" s="25" t="s">
        <v>4</v>
      </c>
      <c r="D7" s="25"/>
      <c r="E7" s="25"/>
      <c r="F7" s="25"/>
      <c r="G7" s="25"/>
    </row>
    <row r="8" spans="1:11" x14ac:dyDescent="0.2">
      <c r="A8" s="26" t="s">
        <v>5</v>
      </c>
      <c r="C8" s="1">
        <v>1</v>
      </c>
      <c r="D8" s="1">
        <v>2</v>
      </c>
      <c r="E8" s="1">
        <v>3</v>
      </c>
      <c r="F8" s="1">
        <v>4</v>
      </c>
      <c r="G8" s="1">
        <v>5</v>
      </c>
    </row>
    <row r="9" spans="1:11" ht="16" x14ac:dyDescent="0.2">
      <c r="A9" s="26"/>
      <c r="B9" s="1">
        <v>1</v>
      </c>
      <c r="C9" s="2">
        <v>5</v>
      </c>
      <c r="D9" s="2">
        <v>8</v>
      </c>
      <c r="E9" s="2">
        <v>3</v>
      </c>
      <c r="F9" s="2">
        <v>12</v>
      </c>
      <c r="G9" s="2">
        <v>7</v>
      </c>
      <c r="H9" s="6" t="s">
        <v>9</v>
      </c>
      <c r="I9">
        <f>SUM(C16:G16)</f>
        <v>1</v>
      </c>
      <c r="J9" t="s">
        <v>8</v>
      </c>
      <c r="K9">
        <v>1</v>
      </c>
    </row>
    <row r="10" spans="1:11" x14ac:dyDescent="0.2">
      <c r="A10" s="26"/>
      <c r="B10" s="1">
        <v>2</v>
      </c>
      <c r="C10" s="2">
        <v>9</v>
      </c>
      <c r="D10" s="2">
        <v>6</v>
      </c>
      <c r="E10" s="2">
        <v>10</v>
      </c>
      <c r="F10" s="2">
        <v>5</v>
      </c>
      <c r="G10" s="2">
        <v>11</v>
      </c>
      <c r="H10" t="s">
        <v>13</v>
      </c>
      <c r="I10">
        <f t="shared" ref="I10:I14" si="0">SUM(C17:G17)</f>
        <v>1</v>
      </c>
      <c r="J10" t="s">
        <v>8</v>
      </c>
      <c r="K10">
        <v>1</v>
      </c>
    </row>
    <row r="11" spans="1:11" x14ac:dyDescent="0.2">
      <c r="A11" s="26"/>
      <c r="B11" s="1">
        <v>3</v>
      </c>
      <c r="C11" s="2">
        <v>7</v>
      </c>
      <c r="D11" s="2">
        <v>3</v>
      </c>
      <c r="E11" s="2">
        <v>8</v>
      </c>
      <c r="F11" s="2">
        <v>7</v>
      </c>
      <c r="G11" s="2">
        <v>6</v>
      </c>
      <c r="H11" t="s">
        <v>14</v>
      </c>
      <c r="I11">
        <f t="shared" si="0"/>
        <v>0</v>
      </c>
      <c r="J11" t="s">
        <v>8</v>
      </c>
      <c r="K11">
        <v>1</v>
      </c>
    </row>
    <row r="12" spans="1:11" x14ac:dyDescent="0.2">
      <c r="A12" s="26"/>
      <c r="B12" s="1">
        <v>4</v>
      </c>
      <c r="C12" s="2">
        <v>3</v>
      </c>
      <c r="D12" s="2">
        <v>5</v>
      </c>
      <c r="E12" s="2">
        <v>6</v>
      </c>
      <c r="F12" s="2">
        <v>9</v>
      </c>
      <c r="G12" s="2">
        <v>8</v>
      </c>
      <c r="H12" t="s">
        <v>15</v>
      </c>
      <c r="I12">
        <f t="shared" si="0"/>
        <v>1</v>
      </c>
      <c r="J12" t="s">
        <v>8</v>
      </c>
      <c r="K12">
        <v>1</v>
      </c>
    </row>
    <row r="13" spans="1:11" x14ac:dyDescent="0.2">
      <c r="A13" s="26"/>
      <c r="B13" s="1">
        <v>5</v>
      </c>
      <c r="C13" s="2">
        <v>11</v>
      </c>
      <c r="D13" s="2">
        <v>7</v>
      </c>
      <c r="E13" s="2">
        <v>5</v>
      </c>
      <c r="F13" s="2">
        <v>4</v>
      </c>
      <c r="G13" s="2">
        <v>3</v>
      </c>
      <c r="H13" t="s">
        <v>16</v>
      </c>
      <c r="I13">
        <f t="shared" si="0"/>
        <v>1</v>
      </c>
      <c r="J13" t="s">
        <v>8</v>
      </c>
      <c r="K13">
        <v>1</v>
      </c>
    </row>
    <row r="14" spans="1:11" x14ac:dyDescent="0.2">
      <c r="A14" s="26"/>
      <c r="B14" s="1">
        <v>6</v>
      </c>
      <c r="C14" s="2">
        <v>8</v>
      </c>
      <c r="D14" s="2">
        <v>2</v>
      </c>
      <c r="E14" s="2">
        <v>9</v>
      </c>
      <c r="F14" s="2">
        <v>6</v>
      </c>
      <c r="G14" s="2">
        <v>10</v>
      </c>
      <c r="H14" t="s">
        <v>17</v>
      </c>
      <c r="I14">
        <f t="shared" si="0"/>
        <v>1</v>
      </c>
      <c r="J14" t="s">
        <v>8</v>
      </c>
      <c r="K14">
        <v>1</v>
      </c>
    </row>
    <row r="15" spans="1:11" x14ac:dyDescent="0.2">
      <c r="H15" s="27" t="s">
        <v>6</v>
      </c>
      <c r="I15" s="27"/>
    </row>
    <row r="16" spans="1:11" x14ac:dyDescent="0.2">
      <c r="B16">
        <v>1</v>
      </c>
      <c r="C16" s="5">
        <v>0</v>
      </c>
      <c r="D16" s="5">
        <v>0</v>
      </c>
      <c r="E16" s="5">
        <v>1</v>
      </c>
      <c r="F16" s="5">
        <v>0</v>
      </c>
      <c r="G16" s="5">
        <v>0</v>
      </c>
      <c r="H16">
        <f>SUMPRODUCT(C9:G14,C16:G21)</f>
        <v>16</v>
      </c>
    </row>
    <row r="17" spans="2:7" x14ac:dyDescent="0.2">
      <c r="B17">
        <v>2</v>
      </c>
      <c r="C17" s="5">
        <v>0</v>
      </c>
      <c r="D17" s="5">
        <v>0</v>
      </c>
      <c r="E17" s="5">
        <v>0</v>
      </c>
      <c r="F17" s="5">
        <v>1</v>
      </c>
      <c r="G17" s="5">
        <v>0</v>
      </c>
    </row>
    <row r="18" spans="2:7" x14ac:dyDescent="0.2">
      <c r="B18">
        <v>3</v>
      </c>
      <c r="C18" s="5">
        <v>0</v>
      </c>
      <c r="D18" s="5">
        <v>0</v>
      </c>
      <c r="E18" s="5">
        <v>0</v>
      </c>
      <c r="F18" s="5">
        <v>0</v>
      </c>
      <c r="G18" s="5">
        <v>0</v>
      </c>
    </row>
    <row r="19" spans="2:7" x14ac:dyDescent="0.2">
      <c r="B19">
        <v>4</v>
      </c>
      <c r="C19" s="5">
        <v>1</v>
      </c>
      <c r="D19" s="5">
        <v>0</v>
      </c>
      <c r="E19" s="5">
        <v>0</v>
      </c>
      <c r="F19" s="5">
        <v>0</v>
      </c>
      <c r="G19" s="5">
        <v>0</v>
      </c>
    </row>
    <row r="20" spans="2:7" x14ac:dyDescent="0.2">
      <c r="B20">
        <v>5</v>
      </c>
      <c r="C20" s="5">
        <v>0</v>
      </c>
      <c r="D20" s="5">
        <v>0</v>
      </c>
      <c r="E20" s="5">
        <v>0</v>
      </c>
      <c r="F20" s="5">
        <v>0</v>
      </c>
      <c r="G20" s="5">
        <v>1</v>
      </c>
    </row>
    <row r="21" spans="2:7" x14ac:dyDescent="0.2">
      <c r="B21">
        <v>6</v>
      </c>
      <c r="C21" s="5">
        <v>0</v>
      </c>
      <c r="D21" s="5">
        <v>1</v>
      </c>
      <c r="E21" s="5">
        <v>0</v>
      </c>
      <c r="F21" s="5">
        <v>0</v>
      </c>
      <c r="G21" s="5">
        <v>0</v>
      </c>
    </row>
    <row r="23" spans="2:7" x14ac:dyDescent="0.2">
      <c r="B23" s="4" t="s">
        <v>7</v>
      </c>
      <c r="C23" t="s">
        <v>11</v>
      </c>
    </row>
    <row r="24" spans="2:7" x14ac:dyDescent="0.2">
      <c r="B24" t="s">
        <v>12</v>
      </c>
      <c r="C24">
        <f>SUM(C16:C21)</f>
        <v>1</v>
      </c>
      <c r="D24">
        <f t="shared" ref="D24:G24" si="1">SUM(D16:D21)</f>
        <v>1</v>
      </c>
      <c r="E24">
        <f t="shared" si="1"/>
        <v>1</v>
      </c>
      <c r="F24">
        <f t="shared" si="1"/>
        <v>1</v>
      </c>
      <c r="G24">
        <f t="shared" si="1"/>
        <v>1</v>
      </c>
    </row>
    <row r="25" spans="2:7" x14ac:dyDescent="0.2">
      <c r="C25" s="7" t="s">
        <v>10</v>
      </c>
      <c r="D25" s="7" t="s">
        <v>10</v>
      </c>
      <c r="E25" s="7" t="s">
        <v>10</v>
      </c>
      <c r="F25" s="7" t="s">
        <v>10</v>
      </c>
      <c r="G25" s="7" t="s">
        <v>10</v>
      </c>
    </row>
    <row r="26" spans="2:7" x14ac:dyDescent="0.2">
      <c r="B26" t="s">
        <v>4</v>
      </c>
      <c r="C26">
        <v>1</v>
      </c>
      <c r="D26">
        <v>1</v>
      </c>
      <c r="E26">
        <v>1</v>
      </c>
      <c r="F26">
        <v>1</v>
      </c>
      <c r="G26">
        <v>1</v>
      </c>
    </row>
  </sheetData>
  <mergeCells count="4">
    <mergeCell ref="B5:J5"/>
    <mergeCell ref="C7:G7"/>
    <mergeCell ref="A8:A14"/>
    <mergeCell ref="H15:I1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Kreeger Grocery Store</vt:lpstr>
      <vt:lpstr>Set Covering problem</vt:lpstr>
      <vt:lpstr>Shortest Path Problem (2)</vt:lpstr>
      <vt:lpstr>The Dynaco Company Network</vt:lpstr>
      <vt:lpstr>Bond Investment</vt:lpstr>
      <vt:lpstr>Optimal Assignment Problem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Vemprala, Naga</dc:creator>
  <cp:lastModifiedBy>Cheplick, Marissa</cp:lastModifiedBy>
  <dcterms:created xsi:type="dcterms:W3CDTF">2025-02-05T01:32:30Z</dcterms:created>
  <dcterms:modified xsi:type="dcterms:W3CDTF">2026-04-24T02:34:11Z</dcterms:modified>
</cp:coreProperties>
</file>