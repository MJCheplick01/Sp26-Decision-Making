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owner/Documents/UP Courses/D_Mod/"/>
    </mc:Choice>
  </mc:AlternateContent>
  <xr:revisionPtr revIDLastSave="0" documentId="13_ncr:1_{696012DC-F80E-8F48-BC16-6775F4330DF5}" xr6:coauthVersionLast="47" xr6:coauthVersionMax="47" xr10:uidLastSave="{00000000-0000-0000-0000-000000000000}"/>
  <bookViews>
    <workbookView xWindow="5680" yWindow="1920" windowWidth="21600" windowHeight="17720" activeTab="4" xr2:uid="{E82F48D7-7DDC-458F-8A05-D86C3C277D7E}"/>
  </bookViews>
  <sheets>
    <sheet name="Sensitivity Report 1" sheetId="8" r:id="rId1"/>
    <sheet name="Blend - Product Mix Problem" sheetId="5" r:id="rId2"/>
    <sheet name="Sensitivity Report 2" sheetId="9" r:id="rId3"/>
    <sheet name="Blend - Ingredients Problem HW" sheetId="7" r:id="rId4"/>
    <sheet name="Employee Scheduling" sheetId="4" r:id="rId5"/>
    <sheet name="Employee Assignment - HW" sheetId="6" r:id="rId6"/>
  </sheets>
  <definedNames>
    <definedName name="solver_adj" localSheetId="3" hidden="1">'Blend - Ingredients Problem HW'!$D$21:$D$30</definedName>
    <definedName name="solver_adj" localSheetId="1" hidden="1">'Blend - Product Mix Problem'!$E$8:$G$10</definedName>
    <definedName name="solver_adj" localSheetId="5" hidden="1">'Employee Assignment - HW'!$D$13:$F$16</definedName>
    <definedName name="solver_adj" localSheetId="4" hidden="1">'Employee Scheduling'!$F$14:$F$20</definedName>
    <definedName name="solver_cvg" localSheetId="3" hidden="1">0.0001</definedName>
    <definedName name="solver_cvg" localSheetId="1" hidden="1">0.0001</definedName>
    <definedName name="solver_cvg" localSheetId="5" hidden="1">0.0001</definedName>
    <definedName name="solver_cvg" localSheetId="4" hidden="1">0.0001</definedName>
    <definedName name="solver_drv" localSheetId="3" hidden="1">1</definedName>
    <definedName name="solver_drv" localSheetId="1" hidden="1">1</definedName>
    <definedName name="solver_drv" localSheetId="5" hidden="1">1</definedName>
    <definedName name="solver_drv" localSheetId="4" hidden="1">1</definedName>
    <definedName name="solver_eng" localSheetId="3" hidden="1">2</definedName>
    <definedName name="solver_eng" localSheetId="1" hidden="1">2</definedName>
    <definedName name="solver_eng" localSheetId="5" hidden="1">2</definedName>
    <definedName name="solver_eng" localSheetId="4" hidden="1">2</definedName>
    <definedName name="solver_itr" localSheetId="3" hidden="1">2147483647</definedName>
    <definedName name="solver_itr" localSheetId="1" hidden="1">2147483647</definedName>
    <definedName name="solver_itr" localSheetId="5" hidden="1">2147483647</definedName>
    <definedName name="solver_itr" localSheetId="4" hidden="1">2147483647</definedName>
    <definedName name="solver_lhs1" localSheetId="3" hidden="1">'Blend - Ingredients Problem HW'!$C$36:$C$40</definedName>
    <definedName name="solver_lhs1" localSheetId="1" hidden="1">'Blend - Product Mix Problem'!$C$25</definedName>
    <definedName name="solver_lhs1" localSheetId="5" hidden="1">'Employee Assignment - HW'!$B$23:$B$25</definedName>
    <definedName name="solver_lhs1" localSheetId="4" hidden="1">'Employee Scheduling'!$D$23:$D$29</definedName>
    <definedName name="solver_lhs10" localSheetId="1" hidden="1">'Blend - Product Mix Problem'!$C$34:$C$36</definedName>
    <definedName name="solver_lhs2" localSheetId="3" hidden="1">'Blend - Ingredients Problem HW'!$C$41:$C$42</definedName>
    <definedName name="solver_lhs2" localSheetId="1" hidden="1">'Blend - Product Mix Problem'!$C$26</definedName>
    <definedName name="solver_lhs2" localSheetId="5" hidden="1">'Employee Assignment - HW'!$B$27:$B$29</definedName>
    <definedName name="solver_lhs2" localSheetId="4" hidden="1">'Employee Scheduling'!$F$14:$F$20</definedName>
    <definedName name="solver_lhs3" localSheetId="3" hidden="1">'Blend - Ingredients Problem HW'!$C$43</definedName>
    <definedName name="solver_lhs3" localSheetId="1" hidden="1">'Blend - Product Mix Problem'!$C$27</definedName>
    <definedName name="solver_lhs3" localSheetId="5" hidden="1">'Employee Assignment - HW'!$B$31:$B$34</definedName>
    <definedName name="solver_lhs4" localSheetId="3" hidden="1">'Blend - Ingredients Problem HW'!$D$21:$D$30</definedName>
    <definedName name="solver_lhs4" localSheetId="1" hidden="1">'Blend - Product Mix Problem'!$C$28</definedName>
    <definedName name="solver_lhs4" localSheetId="5" hidden="1">'Employee Assignment - HW'!$D$13:$F$16</definedName>
    <definedName name="solver_lhs5" localSheetId="1" hidden="1">'Blend - Product Mix Problem'!$C$29</definedName>
    <definedName name="solver_lhs6" localSheetId="1" hidden="1">'Blend - Product Mix Problem'!$C$30</definedName>
    <definedName name="solver_lhs7" localSheetId="1" hidden="1">'Blend - Product Mix Problem'!$C$31</definedName>
    <definedName name="solver_lhs8" localSheetId="1" hidden="1">'Blend - Product Mix Problem'!$C$32</definedName>
    <definedName name="solver_lhs9" localSheetId="1" hidden="1">'Blend - Product Mix Problem'!$C$33</definedName>
    <definedName name="solver_lin" localSheetId="3" hidden="1">1</definedName>
    <definedName name="solver_lin" localSheetId="1" hidden="1">1</definedName>
    <definedName name="solver_lin" localSheetId="5" hidden="1">1</definedName>
    <definedName name="solver_lin" localSheetId="4" hidden="1">1</definedName>
    <definedName name="solver_mip" localSheetId="3" hidden="1">2147483647</definedName>
    <definedName name="solver_mip" localSheetId="1" hidden="1">2147483647</definedName>
    <definedName name="solver_mip" localSheetId="5" hidden="1">2147483647</definedName>
    <definedName name="solver_mip" localSheetId="4" hidden="1">2147483647</definedName>
    <definedName name="solver_mni" localSheetId="3" hidden="1">30</definedName>
    <definedName name="solver_mni" localSheetId="1" hidden="1">30</definedName>
    <definedName name="solver_mni" localSheetId="5" hidden="1">30</definedName>
    <definedName name="solver_mni" localSheetId="4" hidden="1">30</definedName>
    <definedName name="solver_mrt" localSheetId="3" hidden="1">0.075</definedName>
    <definedName name="solver_mrt" localSheetId="1" hidden="1">0.075</definedName>
    <definedName name="solver_mrt" localSheetId="5" hidden="1">0.075</definedName>
    <definedName name="solver_mrt" localSheetId="4" hidden="1">0.075</definedName>
    <definedName name="solver_msl" localSheetId="3" hidden="1">2</definedName>
    <definedName name="solver_msl" localSheetId="1" hidden="1">2</definedName>
    <definedName name="solver_msl" localSheetId="5" hidden="1">2</definedName>
    <definedName name="solver_msl" localSheetId="4" hidden="1">2</definedName>
    <definedName name="solver_neg" localSheetId="3" hidden="1">1</definedName>
    <definedName name="solver_neg" localSheetId="1" hidden="1">1</definedName>
    <definedName name="solver_neg" localSheetId="5" hidden="1">1</definedName>
    <definedName name="solver_neg" localSheetId="4" hidden="1">1</definedName>
    <definedName name="solver_nod" localSheetId="3" hidden="1">2147483647</definedName>
    <definedName name="solver_nod" localSheetId="1" hidden="1">2147483647</definedName>
    <definedName name="solver_nod" localSheetId="5" hidden="1">2147483647</definedName>
    <definedName name="solver_nod" localSheetId="4" hidden="1">2147483647</definedName>
    <definedName name="solver_num" localSheetId="3" hidden="1">4</definedName>
    <definedName name="solver_num" localSheetId="1" hidden="1">10</definedName>
    <definedName name="solver_num" localSheetId="5" hidden="1">4</definedName>
    <definedName name="solver_num" localSheetId="4" hidden="1">2</definedName>
    <definedName name="solver_opt" localSheetId="3" hidden="1">'Blend - Ingredients Problem HW'!$D$32</definedName>
    <definedName name="solver_opt" localSheetId="1" hidden="1">'Blend - Product Mix Problem'!$C$23</definedName>
    <definedName name="solver_opt" localSheetId="5" hidden="1">'Employee Assignment - HW'!$A$19</definedName>
    <definedName name="solver_opt" localSheetId="4" hidden="1">'Employee Scheduling'!$F$21</definedName>
    <definedName name="solver_pre" localSheetId="3" hidden="1">0.000001</definedName>
    <definedName name="solver_pre" localSheetId="1" hidden="1">0.000001</definedName>
    <definedName name="solver_pre" localSheetId="5" hidden="1">0.000001</definedName>
    <definedName name="solver_pre" localSheetId="4" hidden="1">0.000001</definedName>
    <definedName name="solver_rbv" localSheetId="3" hidden="1">1</definedName>
    <definedName name="solver_rbv" localSheetId="1" hidden="1">1</definedName>
    <definedName name="solver_rbv" localSheetId="5" hidden="1">1</definedName>
    <definedName name="solver_rbv" localSheetId="4" hidden="1">1</definedName>
    <definedName name="solver_rel1" localSheetId="3" hidden="1">3</definedName>
    <definedName name="solver_rel1" localSheetId="1" hidden="1">3</definedName>
    <definedName name="solver_rel1" localSheetId="5" hidden="1">3</definedName>
    <definedName name="solver_rel1" localSheetId="4" hidden="1">3</definedName>
    <definedName name="solver_rel10" localSheetId="1" hidden="1">1</definedName>
    <definedName name="solver_rel2" localSheetId="3" hidden="1">1</definedName>
    <definedName name="solver_rel2" localSheetId="1" hidden="1">1</definedName>
    <definedName name="solver_rel2" localSheetId="5" hidden="1">1</definedName>
    <definedName name="solver_rel2" localSheetId="4" hidden="1">4</definedName>
    <definedName name="solver_rel3" localSheetId="3" hidden="1">3</definedName>
    <definedName name="solver_rel3" localSheetId="1" hidden="1">3</definedName>
    <definedName name="solver_rel3" localSheetId="5" hidden="1">2</definedName>
    <definedName name="solver_rel4" localSheetId="3" hidden="1">5</definedName>
    <definedName name="solver_rel4" localSheetId="1" hidden="1">1</definedName>
    <definedName name="solver_rel4" localSheetId="5" hidden="1">5</definedName>
    <definedName name="solver_rel5" localSheetId="1" hidden="1">3</definedName>
    <definedName name="solver_rel6" localSheetId="1" hidden="1">3</definedName>
    <definedName name="solver_rel7" localSheetId="1" hidden="1">3</definedName>
    <definedName name="solver_rel8" localSheetId="1" hidden="1">3</definedName>
    <definedName name="solver_rel9" localSheetId="1" hidden="1">3</definedName>
    <definedName name="solver_rhs1" localSheetId="3" hidden="1">'Blend - Ingredients Problem HW'!$E$36:$E$40</definedName>
    <definedName name="solver_rhs1" localSheetId="1" hidden="1">'Blend - Product Mix Problem'!$E$25</definedName>
    <definedName name="solver_rhs1" localSheetId="5" hidden="1">'Employee Assignment - HW'!$D$23:$D$25</definedName>
    <definedName name="solver_rhs1" localSheetId="4" hidden="1">'Employee Scheduling'!$F$23:$F$29</definedName>
    <definedName name="solver_rhs10" localSheetId="1" hidden="1">'Blend - Product Mix Problem'!$E$34:$E$36</definedName>
    <definedName name="solver_rhs2" localSheetId="3" hidden="1">'Blend - Ingredients Problem HW'!$E$41:$E$42</definedName>
    <definedName name="solver_rhs2" localSheetId="1" hidden="1">'Blend - Product Mix Problem'!$E$26</definedName>
    <definedName name="solver_rhs2" localSheetId="5" hidden="1">'Employee Assignment - HW'!$D$27:$D$29</definedName>
    <definedName name="solver_rhs2" localSheetId="4" hidden="1">"integer"</definedName>
    <definedName name="solver_rhs3" localSheetId="3" hidden="1">0</definedName>
    <definedName name="solver_rhs3" localSheetId="1" hidden="1">'Blend - Product Mix Problem'!$E$27</definedName>
    <definedName name="solver_rhs3" localSheetId="5" hidden="1">'Employee Assignment - HW'!$D$31:$D$34</definedName>
    <definedName name="solver_rhs4" localSheetId="3" hidden="1">"binary"</definedName>
    <definedName name="solver_rhs4" localSheetId="1" hidden="1">'Blend - Product Mix Problem'!$E$28</definedName>
    <definedName name="solver_rhs4" localSheetId="5" hidden="1">"binary"</definedName>
    <definedName name="solver_rhs5" localSheetId="1" hidden="1">'Blend - Product Mix Problem'!$E$29</definedName>
    <definedName name="solver_rhs6" localSheetId="1" hidden="1">'Blend - Product Mix Problem'!$E$30</definedName>
    <definedName name="solver_rhs7" localSheetId="1" hidden="1">'Blend - Product Mix Problem'!$E$31</definedName>
    <definedName name="solver_rhs8" localSheetId="1" hidden="1">'Blend - Product Mix Problem'!$E$32</definedName>
    <definedName name="solver_rhs9" localSheetId="1" hidden="1">'Blend - Product Mix Problem'!$E$33</definedName>
    <definedName name="solver_rlx" localSheetId="3" hidden="1">2</definedName>
    <definedName name="solver_rlx" localSheetId="1" hidden="1">2</definedName>
    <definedName name="solver_rlx" localSheetId="5" hidden="1">1</definedName>
    <definedName name="solver_rlx" localSheetId="4" hidden="1">2</definedName>
    <definedName name="solver_rsd" localSheetId="3" hidden="1">0</definedName>
    <definedName name="solver_rsd" localSheetId="1" hidden="1">0</definedName>
    <definedName name="solver_rsd" localSheetId="5" hidden="1">0</definedName>
    <definedName name="solver_rsd" localSheetId="4" hidden="1">0</definedName>
    <definedName name="solver_scl" localSheetId="3" hidden="1">1</definedName>
    <definedName name="solver_scl" localSheetId="1" hidden="1">1</definedName>
    <definedName name="solver_scl" localSheetId="5" hidden="1">2</definedName>
    <definedName name="solver_scl" localSheetId="4" hidden="1">2</definedName>
    <definedName name="solver_sho" localSheetId="3" hidden="1">2</definedName>
    <definedName name="solver_sho" localSheetId="1" hidden="1">2</definedName>
    <definedName name="solver_sho" localSheetId="5" hidden="1">2</definedName>
    <definedName name="solver_sho" localSheetId="4" hidden="1">2</definedName>
    <definedName name="solver_ssz" localSheetId="3" hidden="1">100</definedName>
    <definedName name="solver_ssz" localSheetId="1" hidden="1">100</definedName>
    <definedName name="solver_ssz" localSheetId="5" hidden="1">100</definedName>
    <definedName name="solver_ssz" localSheetId="4" hidden="1">100</definedName>
    <definedName name="solver_tim" localSheetId="3" hidden="1">2147483647</definedName>
    <definedName name="solver_tim" localSheetId="1" hidden="1">2147483647</definedName>
    <definedName name="solver_tim" localSheetId="5" hidden="1">2147483647</definedName>
    <definedName name="solver_tim" localSheetId="4" hidden="1">2147483647</definedName>
    <definedName name="solver_tol" localSheetId="3" hidden="1">0.01</definedName>
    <definedName name="solver_tol" localSheetId="1" hidden="1">0.01</definedName>
    <definedName name="solver_tol" localSheetId="5" hidden="1">0.01</definedName>
    <definedName name="solver_tol" localSheetId="4" hidden="1">0.01</definedName>
    <definedName name="solver_typ" localSheetId="3" hidden="1">2</definedName>
    <definedName name="solver_typ" localSheetId="1" hidden="1">1</definedName>
    <definedName name="solver_typ" localSheetId="5" hidden="1">1</definedName>
    <definedName name="solver_typ" localSheetId="4" hidden="1">2</definedName>
    <definedName name="solver_val" localSheetId="3" hidden="1">0</definedName>
    <definedName name="solver_val" localSheetId="1" hidden="1">0</definedName>
    <definedName name="solver_val" localSheetId="5" hidden="1">0</definedName>
    <definedName name="solver_val" localSheetId="4" hidden="1">0</definedName>
    <definedName name="solver_ver" localSheetId="3" hidden="1">2</definedName>
    <definedName name="solver_ver" localSheetId="1" hidden="1">2</definedName>
    <definedName name="solver_ver" localSheetId="5" hidden="1">2</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9" i="6" l="1"/>
  <c r="B28" i="6"/>
  <c r="B27" i="6"/>
  <c r="B25" i="6"/>
  <c r="B24" i="6"/>
  <c r="B23" i="6"/>
  <c r="B34" i="6"/>
  <c r="B33" i="6"/>
  <c r="B32" i="6"/>
  <c r="B31" i="6"/>
  <c r="G14" i="6"/>
  <c r="G15" i="6"/>
  <c r="G16" i="6"/>
  <c r="G13" i="6"/>
  <c r="A19" i="6"/>
  <c r="B22" i="6"/>
  <c r="E17" i="6"/>
  <c r="F17" i="6"/>
  <c r="D17" i="6"/>
  <c r="C43" i="7" l="1"/>
  <c r="C42" i="7"/>
  <c r="C41" i="7"/>
  <c r="C40" i="7"/>
  <c r="C39" i="7"/>
  <c r="C38" i="7"/>
  <c r="C37" i="7"/>
  <c r="C36" i="7"/>
  <c r="D32" i="7"/>
  <c r="D29" i="4"/>
  <c r="D28" i="4"/>
  <c r="D27" i="4"/>
  <c r="D26" i="4"/>
  <c r="D25" i="4"/>
  <c r="D24" i="4"/>
  <c r="D23" i="4"/>
  <c r="F23" i="4"/>
  <c r="F29" i="4"/>
  <c r="F24" i="4"/>
  <c r="F25" i="4"/>
  <c r="F26" i="4"/>
  <c r="F27" i="4"/>
  <c r="F28" i="4"/>
  <c r="F21" i="4"/>
  <c r="C25" i="5" l="1"/>
  <c r="E16" i="5"/>
  <c r="C31" i="5" s="1"/>
  <c r="C36" i="5"/>
  <c r="C35" i="5"/>
  <c r="C34" i="5"/>
  <c r="E26" i="5"/>
  <c r="E25" i="5"/>
  <c r="E36" i="5"/>
  <c r="E35" i="5"/>
  <c r="E34" i="5"/>
  <c r="C30" i="5"/>
  <c r="C29" i="5"/>
  <c r="C28" i="5"/>
  <c r="C27" i="5"/>
  <c r="C26" i="5"/>
  <c r="E20" i="5"/>
  <c r="C33" i="5" s="1"/>
  <c r="E18" i="5"/>
  <c r="C32" i="5" s="1"/>
  <c r="E30" i="5"/>
  <c r="E29" i="5"/>
  <c r="E28" i="5"/>
  <c r="E27" i="5"/>
  <c r="C11" i="5"/>
  <c r="C23" i="5" l="1"/>
</calcChain>
</file>

<file path=xl/sharedStrings.xml><?xml version="1.0" encoding="utf-8"?>
<sst xmlns="http://schemas.openxmlformats.org/spreadsheetml/2006/main" count="324" uniqueCount="203">
  <si>
    <t>On different days of the week, a US superstore requires a different number of employees. The table below shows the number of employees needed each day. According to company policy, each employee must work five days in a row and then take two days off. The superstore wants to meet its daily needs with only its current employees, and no additional contractors can be hired. How can you reduce the number of employees you need to hire in order to save money?</t>
  </si>
  <si>
    <t>Day</t>
  </si>
  <si>
    <t>Req Employees</t>
  </si>
  <si>
    <t>Monday</t>
  </si>
  <si>
    <t>Tuesday</t>
  </si>
  <si>
    <t>Wednesday</t>
  </si>
  <si>
    <t>Thursday</t>
  </si>
  <si>
    <t>Friday</t>
  </si>
  <si>
    <t>Saturday</t>
  </si>
  <si>
    <t>Sunday</t>
  </si>
  <si>
    <t>A petroleum company produces three grades of motor oil – Super, Premium, and Extra – from three components - 1, 2, and 3.  The company wants to determine the optimal mix of motor oils to produce in order to maximize its profits.</t>
  </si>
  <si>
    <t>The maximum quantities available of each component and their cost per barrel are as follows.</t>
  </si>
  <si>
    <t>Component</t>
  </si>
  <si>
    <t>Maximum Barrels Available/day</t>
  </si>
  <si>
    <t>Cost/Barrel</t>
  </si>
  <si>
    <t>To ensure the appropriate blend, each grade has certain general specifications. Each grade must have a minimum amount of component 1 plus a combination of other component as follows. Also, the company wants to produce at least 3000 barrels of each grade of motor oil.</t>
  </si>
  <si>
    <t>Grade</t>
  </si>
  <si>
    <t>Component Specification</t>
  </si>
  <si>
    <t>Selling Price per barrel</t>
  </si>
  <si>
    <t>Super</t>
  </si>
  <si>
    <t>At least 50% of 1</t>
  </si>
  <si>
    <t>Not more than 30% of 2</t>
  </si>
  <si>
    <t>Premium</t>
  </si>
  <si>
    <t>At least 40% of 1</t>
  </si>
  <si>
    <t>Not more than 25% of 3</t>
  </si>
  <si>
    <t>Extra</t>
  </si>
  <si>
    <t xml:space="preserve">At least 60% of 1 </t>
  </si>
  <si>
    <t>At least 10% of 2</t>
  </si>
  <si>
    <t>Department Sales ($)</t>
  </si>
  <si>
    <t>Employee</t>
  </si>
  <si>
    <t>Lamps</t>
  </si>
  <si>
    <t>Sporting Goods</t>
  </si>
  <si>
    <t>Linens</t>
  </si>
  <si>
    <t>Breathtakers, a health and fitness center, operates a morning fitness program for senior citizens. The program includes aerobic exercise, either swimming or step exercise, followed by a healthy breakfast in the dining room. Breathtakers' dietitian wants to develop a breakfast that will be high in calories, calcium, protein, and fiber, which are especially important to senior citizens, but low in fat and cholesterol. She wants to minimize cost. She has selected the following possible food items, whose individual nutrient contributions and cost from which to develop a standard breakfast menu are shown:</t>
  </si>
  <si>
    <t xml:space="preserve">Calories </t>
  </si>
  <si>
    <t>Fat (g)</t>
  </si>
  <si>
    <t>Cholesterol (mg)</t>
  </si>
  <si>
    <t>Iron (mg)</t>
  </si>
  <si>
    <t xml:space="preserve">Calcium (mg) </t>
  </si>
  <si>
    <t>Protein (g)</t>
  </si>
  <si>
    <t>Fiber (g)</t>
  </si>
  <si>
    <t>Cost ($)</t>
  </si>
  <si>
    <t>Bran cereal (cup)</t>
  </si>
  <si>
    <t>Dry cereal (cup)</t>
  </si>
  <si>
    <t>Oatmeal (cup)</t>
  </si>
  <si>
    <t xml:space="preserve">Oat bran (cup) </t>
  </si>
  <si>
    <t>Egg</t>
  </si>
  <si>
    <t>Bacon (slice)</t>
  </si>
  <si>
    <t>Orange</t>
  </si>
  <si>
    <t xml:space="preserve">Milk - 2% (cup) </t>
  </si>
  <si>
    <t>Orange Juice (cup)</t>
  </si>
  <si>
    <t>Wheat toast (slice)</t>
  </si>
  <si>
    <t xml:space="preserve">The dietitian wants the breakfast to include at least 420 calories, 5 milligrams of iron, 400 milligrams of calcium, 20 grams of protein, and 12 grams of fiber. Furthermore, she wants to limit fat to no more than 20 grams and cholesterol to 30 milligrams. </t>
  </si>
  <si>
    <t>Decision Variables</t>
  </si>
  <si>
    <t>Decision VariablesN (Cost)</t>
  </si>
  <si>
    <t>Decision Variables (Profit)</t>
  </si>
  <si>
    <t>Contraints</t>
  </si>
  <si>
    <t>&lt;=</t>
  </si>
  <si>
    <t>&gt;=</t>
  </si>
  <si>
    <t>total Super no more than 30% of 2</t>
  </si>
  <si>
    <t>total Premium at least 40% of 1</t>
  </si>
  <si>
    <t>total premium not more than 25% of 3</t>
  </si>
  <si>
    <t>total extra at least 60% of 1</t>
  </si>
  <si>
    <t>total extra at least 10% of 2</t>
  </si>
  <si>
    <t>total Super at laest 50% grade 1</t>
  </si>
  <si>
    <t>At least 3000 barrles each</t>
  </si>
  <si>
    <t>3000 barrels req</t>
  </si>
  <si>
    <t>Microsoft Excel 16.103 Sensitivity Report</t>
  </si>
  <si>
    <t>Worksheet: [Sp26_Product_Mix_Scheduling.xlsx]Bled - Product Mix Problem</t>
  </si>
  <si>
    <t>Report Created: 1/22/26 6:33:26 PM</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</si>
  <si>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</si>
  <si>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</si>
  <si>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</si>
  <si>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</si>
  <si>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</si>
  <si>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</si>
  <si>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</si>
  <si>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</si>
  <si>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</si>
  <si>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</si>
  <si>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</si>
  <si>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</si>
  <si>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</si>
  <si>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</si>
  <si>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</si>
  <si>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</si>
  <si>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</si>
  <si>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$G$8</t>
  </si>
  <si>
    <t>$H$8</t>
  </si>
  <si>
    <t>$I$8</t>
  </si>
  <si>
    <t>$G$9</t>
  </si>
  <si>
    <t>$H$9</t>
  </si>
  <si>
    <t>$I$9</t>
  </si>
  <si>
    <t>$G$10</t>
  </si>
  <si>
    <t>$H$10</t>
  </si>
  <si>
    <t>$I$10</t>
  </si>
  <si>
    <t>$E$25</t>
  </si>
  <si>
    <t>total Super at laest 50% grade 1 At least 10% of 2</t>
  </si>
  <si>
    <t>$E$26</t>
  </si>
  <si>
    <t>total Super no more than 30% of 2 At least 10% of 2</t>
  </si>
  <si>
    <t>$E$27</t>
  </si>
  <si>
    <t>total Premium at least 40% of 1 At least 10% of 2</t>
  </si>
  <si>
    <t>$E$28</t>
  </si>
  <si>
    <t>total premium not more than 25% of 3 At least 10% of 2</t>
  </si>
  <si>
    <t>$E$29</t>
  </si>
  <si>
    <t>total extra at least 60% of 1 At least 10% of 2</t>
  </si>
  <si>
    <t>$E$30</t>
  </si>
  <si>
    <t>total extra at least 10% of 2 At least 10% of 2</t>
  </si>
  <si>
    <t>$E$31</t>
  </si>
  <si>
    <t>At least 3000 barrles each At least 10% of 2</t>
  </si>
  <si>
    <t>$E$32</t>
  </si>
  <si>
    <t>$E$33</t>
  </si>
  <si>
    <t>Available Grade 2 Barrels</t>
  </si>
  <si>
    <t>Available Grade 3Barrels</t>
  </si>
  <si>
    <t>Available Gradde1 Barrels</t>
  </si>
  <si>
    <t>Barrels avail</t>
  </si>
  <si>
    <t>updated formula</t>
  </si>
  <si>
    <t>X1</t>
  </si>
  <si>
    <t># of emps hired on Monday</t>
  </si>
  <si>
    <t>X2</t>
  </si>
  <si>
    <t>X3</t>
  </si>
  <si>
    <t>X4</t>
  </si>
  <si>
    <t>X5</t>
  </si>
  <si>
    <t>X6</t>
  </si>
  <si>
    <t>X7</t>
  </si>
  <si>
    <t># hired Tuesday</t>
  </si>
  <si>
    <t># hired Wednesday</t>
  </si>
  <si>
    <t># hired Thursday</t>
  </si>
  <si>
    <t># hired Friday</t>
  </si>
  <si>
    <t># hired Saturday</t>
  </si>
  <si>
    <t># hired Sunday</t>
  </si>
  <si>
    <t>Total # of employees (minimize)</t>
  </si>
  <si>
    <t>Equation for Monday</t>
  </si>
  <si>
    <t>X1+X4+X5+x6+x7</t>
  </si>
  <si>
    <t>Equation for Tuesday</t>
  </si>
  <si>
    <t>x1+x2+x5+x6+x7</t>
  </si>
  <si>
    <t>X1+x2+x3+x6+x7</t>
  </si>
  <si>
    <t>x1+x2+x3+x4+x7</t>
  </si>
  <si>
    <t>0+x2+x3+x4+x5+x6</t>
  </si>
  <si>
    <t>x1+x2+x3+x4+x5</t>
  </si>
  <si>
    <t>at least 420 calories</t>
  </si>
  <si>
    <t>5 mg iron</t>
  </si>
  <si>
    <t>400 mg calcium</t>
  </si>
  <si>
    <t>20g protein</t>
  </si>
  <si>
    <t>12g fiber</t>
  </si>
  <si>
    <t>Objective Fx</t>
  </si>
  <si>
    <t>no more 20g fat</t>
  </si>
  <si>
    <t>no more 30mg chol</t>
  </si>
  <si>
    <t>Optimal Servings</t>
  </si>
  <si>
    <t>Type</t>
  </si>
  <si>
    <t>Total Calorie</t>
  </si>
  <si>
    <t>Total Iron</t>
  </si>
  <si>
    <t>Total Calcium</t>
  </si>
  <si>
    <t>Total Protein</t>
  </si>
  <si>
    <t>Total Fiber</t>
  </si>
  <si>
    <t>Total Fat</t>
  </si>
  <si>
    <t>Total Cholesterol</t>
  </si>
  <si>
    <t>Servings</t>
  </si>
  <si>
    <t>Worksheet: [Sp26_Product_Mix_Scheduling.xlsx]Blend - Ingredients Problem HW</t>
  </si>
  <si>
    <t>Report Created: 2/5/26 12:35:19 PM</t>
  </si>
  <si>
    <t>$F$21</t>
  </si>
  <si>
    <t>Bran cereal (cup) Optimal Servings</t>
  </si>
  <si>
    <t>$F$22</t>
  </si>
  <si>
    <t>Dry cereal (cup) Optimal Servings</t>
  </si>
  <si>
    <t>$F$23</t>
  </si>
  <si>
    <t>Oatmeal (cup) Optimal Servings</t>
  </si>
  <si>
    <t>$F$24</t>
  </si>
  <si>
    <t>Oat bran (cup)  Optimal Servings</t>
  </si>
  <si>
    <t>$F$25</t>
  </si>
  <si>
    <t>Egg Optimal Servings</t>
  </si>
  <si>
    <t>$F$26</t>
  </si>
  <si>
    <t>Bacon (slice) Optimal Servings</t>
  </si>
  <si>
    <t>$F$27</t>
  </si>
  <si>
    <t>Orange Optimal Servings</t>
  </si>
  <si>
    <t>$F$28</t>
  </si>
  <si>
    <t>Milk - 2% (cup)  Optimal Servings</t>
  </si>
  <si>
    <t>$F$29</t>
  </si>
  <si>
    <t>Orange Juice (cup) Optimal Servings</t>
  </si>
  <si>
    <t>$F$30</t>
  </si>
  <si>
    <t>Wheat toast (slice) Optimal Servings</t>
  </si>
  <si>
    <t>$E$36</t>
  </si>
  <si>
    <t>Total Calorie Cost</t>
  </si>
  <si>
    <t>$E$37</t>
  </si>
  <si>
    <t>Total Iron Cost</t>
  </si>
  <si>
    <t>$E$38</t>
  </si>
  <si>
    <t>Total Calcium Cost</t>
  </si>
  <si>
    <t>$E$39</t>
  </si>
  <si>
    <t>Total Protein Cost</t>
  </si>
  <si>
    <t>$E$40</t>
  </si>
  <si>
    <t>Total Fiber Cost</t>
  </si>
  <si>
    <t>$G$41</t>
  </si>
  <si>
    <t>&lt;= Fat (g)</t>
  </si>
  <si>
    <t>$G$42</t>
  </si>
  <si>
    <t>Objective Function:</t>
  </si>
  <si>
    <t xml:space="preserve">Assignment </t>
  </si>
  <si>
    <t>Binary</t>
  </si>
  <si>
    <t>Department 1, 1 emp</t>
  </si>
  <si>
    <t>Department 2, 1 emp</t>
  </si>
  <si>
    <t>Department 3, 1 emp</t>
  </si>
  <si>
    <t>Only 1 Emp</t>
  </si>
  <si>
    <t>Department 1</t>
  </si>
  <si>
    <t>Department 2</t>
  </si>
  <si>
    <t>Department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</si>
</sst>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1"/>
      <color theme="1"/>
      <name val="Calibri"/>
      <family val="2"/>
      <scheme val="minor"/>
    </font>
    <font>
      <b/>
      <sz val="11"/>
      <color theme="1"/>
      <name val="Calibri"/>
      <family val="2"/>
      <scheme val="minor"/>
    </font>
    <font>
      <sz val="14"/>
      <color theme="1"/>
      <name val="Calibri"/>
      <family val="2"/>
      <scheme val="minor"/>
    </font>
    <font>
      <b/>
      <sz val="11"/>
      <name val="Arial"/>
      <family val="2"/>
    </font>
    <font>
      <sz val="11"/>
      <name val="Arial"/>
      <family val="2"/>
    </font>
    <font>
      <sz val="8"/>
      <name val="Calibri"/>
      <family val="2"/>
      <scheme val="minor"/>
    </font>
    <font>
      <b/>
      <sz val="11"/>
      <color indexed="18"/>
      <name val="Calibri"/>
      <family val="2"/>
      <scheme val="minor"/>
    </font>
    <font>
      <b/>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0" fillId="0" borderId="4" xfId="0" applyBorder="1"/>
    <xf numFmtId="0" fontId="3" fillId="3" borderId="4" xfId="0" applyFont="1" applyFill="1" applyBorder="1" applyAlignment="1">
      <alignment vertical="center" wrapText="1"/>
    </xf>
    <xf numFmtId="0" fontId="4" fillId="0" borderId="4" xfId="0" applyFont="1" applyBorder="1" applyAlignment="1">
      <alignment vertical="center" wrapText="1"/>
    </xf>
    <xf numFmtId="0" fontId="0" fillId="0" borderId="4" xfId="0" applyBorder="1" applyAlignment="1">
      <alignment wrapText="1"/>
    </xf>
    <xf numFmtId="6" fontId="0" fillId="0" borderId="4" xfId="0" applyNumberFormat="1" applyBorder="1"/>
    <xf numFmtId="0" fontId="1" fillId="0" borderId="4" xfId="0" applyFont="1" applyBorder="1" applyAlignment="1">
      <alignment wrapText="1"/>
    </xf>
    <xf numFmtId="0" fontId="1" fillId="0" borderId="4" xfId="0" applyFont="1" applyBorder="1"/>
    <xf numFmtId="0" fontId="0" fillId="5" borderId="0" xfId="0" applyFill="1"/>
    <xf numFmtId="6" fontId="0" fillId="0" borderId="0" xfId="0" applyNumberFormat="1"/>
    <xf numFmtId="0" fontId="0" fillId="5" borderId="4" xfId="0" applyFill="1" applyBorder="1"/>
    <xf numFmtId="0" fontId="0" fillId="6" borderId="0" xfId="0" applyFill="1"/>
    <xf numFmtId="0" fontId="0" fillId="7" borderId="0" xfId="0" applyFill="1"/>
    <xf numFmtId="0" fontId="0" fillId="0" borderId="11" xfId="0" applyBorder="1"/>
    <xf numFmtId="0" fontId="0" fillId="0" borderId="12" xfId="0" applyBorder="1"/>
    <xf numFmtId="0" fontId="0" fillId="0" borderId="14" xfId="0" applyBorder="1"/>
    <xf numFmtId="0" fontId="0" fillId="0" borderId="16" xfId="0" applyBorder="1"/>
    <xf numFmtId="0" fontId="0" fillId="0" borderId="17" xfId="0" applyBorder="1"/>
    <xf numFmtId="0" fontId="1" fillId="0" borderId="0" xfId="0" applyFont="1"/>
    <xf numFmtId="0" fontId="0" fillId="0" borderId="20" xfId="0" applyBorder="1"/>
    <xf numFmtId="0" fontId="0" fillId="0" borderId="21" xfId="0" applyBorder="1"/>
    <xf numFmtId="0" fontId="6" fillId="0" borderId="18" xfId="0" applyFont="1" applyBorder="1" applyAlignment="1">
      <alignment horizontal="center"/>
    </xf>
    <xf numFmtId="0" fontId="6" fillId="0" borderId="19" xfId="0" applyFont="1" applyBorder="1" applyAlignment="1">
      <alignment horizontal="center"/>
    </xf>
    <xf numFmtId="0" fontId="4" fillId="0" borderId="0" xfId="0" applyFont="1" applyAlignment="1">
      <alignment vertical="center" wrapText="1"/>
    </xf>
    <xf numFmtId="0" fontId="8" fillId="0" borderId="6" xfId="0" applyFont="1" applyBorder="1"/>
    <xf numFmtId="0" fontId="8" fillId="0" borderId="17" xfId="0" applyFont="1" applyBorder="1"/>
    <xf numFmtId="0" fontId="1" fillId="0" borderId="23" xfId="0" applyFont="1" applyBorder="1"/>
    <xf numFmtId="0" fontId="0" fillId="0" borderId="23" xfId="0" applyBorder="1"/>
    <xf numFmtId="0" fontId="1" fillId="0" borderId="23" xfId="0" applyFont="1" applyBorder="1" applyAlignment="1">
      <alignment horizontal="center" wrapText="1"/>
    </xf>
    <xf numFmtId="0" fontId="1" fillId="0" borderId="24" xfId="0" applyFont="1" applyBorder="1"/>
    <xf numFmtId="0" fontId="7" fillId="0" borderId="5" xfId="0" applyFont="1" applyBorder="1" applyAlignment="1">
      <alignment wrapText="1"/>
    </xf>
    <xf numFmtId="0" fontId="7" fillId="0" borderId="12" xfId="0" applyFont="1" applyBorder="1" applyAlignment="1">
      <alignment wrapText="1"/>
    </xf>
    <xf numFmtId="0" fontId="1" fillId="6" borderId="24" xfId="0" applyFont="1" applyFill="1" applyBorder="1"/>
    <xf numFmtId="0" fontId="0" fillId="6" borderId="4" xfId="0" applyFill="1" applyBorder="1"/>
    <xf numFmtId="0" fontId="1" fillId="6" borderId="25" xfId="0" applyFont="1" applyFill="1" applyBorder="1"/>
    <xf numFmtId="0" fontId="8" fillId="0" borderId="4" xfId="0" applyFont="1" applyBorder="1"/>
    <xf numFmtId="0" fontId="8" fillId="0" borderId="22" xfId="0" applyFont="1" applyBorder="1"/>
    <xf numFmtId="0" fontId="0" fillId="0" borderId="26" xfId="0" applyBorder="1"/>
    <xf numFmtId="0" fontId="8" fillId="0" borderId="27" xfId="0" applyFont="1" applyBorder="1"/>
    <xf numFmtId="0" fontId="0" fillId="0" borderId="27" xfId="0" applyBorder="1"/>
    <xf numFmtId="0" fontId="0" fillId="0" borderId="0" xfId="0" applyAlignment="1">
      <alignment vertical="top" wrapText="1"/>
    </xf>
    <xf numFmtId="0" fontId="8" fillId="0" borderId="28" xfId="0" applyFont="1" applyBorder="1"/>
    <xf numFmtId="0" fontId="8" fillId="0" borderId="16" xfId="0" applyFont="1" applyBorder="1"/>
    <xf numFmtId="0" fontId="8" fillId="0" borderId="0" xfId="0" applyFont="1" applyAlignment="1">
      <alignment vertical="top" wrapText="1"/>
    </xf>
    <xf numFmtId="0" fontId="8" fillId="0" borderId="0" xfId="0" applyFont="1"/>
    <xf numFmtId="0" fontId="1" fillId="8" borderId="0" xfId="0" applyFont="1" applyFill="1"/>
    <xf numFmtId="0" fontId="1" fillId="4" borderId="1" xfId="0" applyFont="1" applyFill="1" applyBorder="1" applyAlignment="1">
      <alignment horizontal="left" wrapText="1"/>
    </xf>
    <xf numFmtId="0" fontId="1" fillId="4" borderId="2" xfId="0" applyFont="1" applyFill="1" applyBorder="1" applyAlignment="1">
      <alignment horizontal="left" wrapText="1"/>
    </xf>
    <xf numFmtId="0" fontId="1" fillId="4" borderId="3" xfId="0" applyFont="1" applyFill="1" applyBorder="1" applyAlignment="1">
      <alignment horizontal="left"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5" borderId="0" xfId="0" applyFill="1" applyAlignment="1">
      <alignment horizontal="center"/>
    </xf>
    <xf numFmtId="0" fontId="0" fillId="7" borderId="0" xfId="0" applyFill="1" applyAlignment="1">
      <alignment horizontal="center"/>
    </xf>
    <xf numFmtId="0" fontId="0" fillId="6" borderId="0" xfId="0" applyFill="1" applyAlignment="1">
      <alignment horizontal="center"/>
    </xf>
    <xf numFmtId="0" fontId="0" fillId="0" borderId="10" xfId="0" applyBorder="1" applyAlignment="1">
      <alignment horizontal="center" wrapText="1"/>
    </xf>
    <xf numFmtId="0" fontId="0" fillId="0" borderId="13" xfId="0" applyBorder="1" applyAlignment="1">
      <alignment horizontal="center" wrapText="1"/>
    </xf>
    <xf numFmtId="0" fontId="0" fillId="0" borderId="15" xfId="0" applyBorder="1" applyAlignment="1">
      <alignment horizontal="center" wrapText="1"/>
    </xf>
    <xf numFmtId="0" fontId="0" fillId="0" borderId="11"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6" fontId="0" fillId="0" borderId="5" xfId="0" applyNumberFormat="1" applyBorder="1" applyAlignment="1">
      <alignment horizontal="center"/>
    </xf>
    <xf numFmtId="6" fontId="0" fillId="0" borderId="6" xfId="0" applyNumberFormat="1" applyBorder="1" applyAlignment="1">
      <alignment horizontal="center"/>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2" fillId="2" borderId="1" xfId="0" applyFont="1" applyFill="1" applyBorder="1" applyAlignment="1">
      <alignment horizontal="left" wrapText="1"/>
    </xf>
    <xf numFmtId="0" fontId="0" fillId="2" borderId="2" xfId="0" applyFill="1" applyBorder="1" applyAlignment="1">
      <alignment horizontal="left" wrapText="1"/>
    </xf>
    <xf numFmtId="0" fontId="0" fillId="2" borderId="3" xfId="0" applyFill="1" applyBorder="1" applyAlignment="1">
      <alignment horizontal="lef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2" fillId="3" borderId="1" xfId="0" applyFont="1" applyFill="1" applyBorder="1" applyAlignment="1">
      <alignment horizontal="left" wrapText="1"/>
    </xf>
    <xf numFmtId="0" fontId="2" fillId="3" borderId="2" xfId="0" applyFont="1" applyFill="1" applyBorder="1" applyAlignment="1">
      <alignment horizontal="left" wrapText="1"/>
    </xf>
    <xf numFmtId="0" fontId="2" fillId="3" borderId="3"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3B02-8162-C24E-A528-62496CB847E7}">
  <dimension ref="A1:H30"/>
  <sheetViews>
    <sheetView showGridLines="0" workbookViewId="0">
      <selection sqref="A1:A3"/>
    </sheetView>
  </sheetViews>
  <sheetFormatPr baseColWidth="10" defaultRowHeight="15" x14ac:dyDescent="0.2"/>
  <cols>
    <col min="1" max="1" width="2.33203125" customWidth="1"/>
    <col min="2" max="2" width="6.33203125" bestFit="1" customWidth="1"/>
    <col min="3" max="3" width="43.83203125" bestFit="1" customWidth="1"/>
    <col min="4" max="4" width="5.6640625" bestFit="1" customWidth="1"/>
    <col min="5" max="5" width="8" bestFit="1" customWidth="1"/>
    <col min="6" max="6" width="9.6640625" bestFit="1" customWidth="1"/>
    <col min="7" max="8" width="9" bestFit="1" customWidth="1"/>
  </cols>
  <sheetData>
    <row r="1" spans="1:8" x14ac:dyDescent="0.2">
      <c r="A1" s="18" t="s">
        <v>67</v>
      </c>
    </row>
    <row r="2" spans="1:8" x14ac:dyDescent="0.2">
      <c r="A2" s="18" t="s">
        <v>68</v>
      </c>
    </row>
    <row r="3" spans="1:8" x14ac:dyDescent="0.2">
      <c r="A3" s="18" t="s">
        <v>69</v>
      </c>
    </row>
    <row r="6" spans="1:8" ht="16" thickBot="1" x14ac:dyDescent="0.25">
      <c r="A6" t="s">
        <v>70</v>
      </c>
    </row>
    <row r="7" spans="1:8" x14ac:dyDescent="0.2">
      <c r="B7" s="21"/>
      <c r="C7" s="21"/>
      <c r="D7" s="21" t="s">
        <v>73</v>
      </c>
      <c r="E7" s="21" t="s">
        <v>75</v>
      </c>
      <c r="F7" s="21" t="s">
        <v>77</v>
      </c>
      <c r="G7" s="21" t="s">
        <v>79</v>
      </c>
      <c r="H7" s="21" t="s">
        <v>79</v>
      </c>
    </row>
    <row r="8" spans="1:8" ht="16" thickBot="1" x14ac:dyDescent="0.25">
      <c r="B8" s="22" t="s">
        <v>71</v>
      </c>
      <c r="C8" s="22" t="s">
        <v>72</v>
      </c>
      <c r="D8" s="22" t="s">
        <v>74</v>
      </c>
      <c r="E8" s="22" t="s">
        <v>76</v>
      </c>
      <c r="F8" s="22" t="s">
        <v>78</v>
      </c>
      <c r="G8" s="22" t="s">
        <v>80</v>
      </c>
      <c r="H8" s="22" t="s">
        <v>81</v>
      </c>
    </row>
    <row r="9" spans="1:8" x14ac:dyDescent="0.2">
      <c r="B9" s="19" t="s">
        <v>87</v>
      </c>
      <c r="C9" s="19" t="s">
        <v>19</v>
      </c>
      <c r="D9" s="19">
        <v>3000</v>
      </c>
      <c r="E9" s="19">
        <v>0</v>
      </c>
      <c r="F9" s="19">
        <v>-13</v>
      </c>
      <c r="G9" s="19">
        <v>13</v>
      </c>
      <c r="H9" s="19">
        <v>0</v>
      </c>
    </row>
    <row r="10" spans="1:8" x14ac:dyDescent="0.2">
      <c r="B10" s="19" t="s">
        <v>88</v>
      </c>
      <c r="C10" s="19" t="s">
        <v>22</v>
      </c>
      <c r="D10" s="19">
        <v>2250</v>
      </c>
      <c r="E10" s="19">
        <v>0</v>
      </c>
      <c r="F10" s="19">
        <v>-16</v>
      </c>
      <c r="G10" s="19">
        <v>0</v>
      </c>
      <c r="H10" s="19">
        <v>0</v>
      </c>
    </row>
    <row r="11" spans="1:8" x14ac:dyDescent="0.2">
      <c r="B11" s="19" t="s">
        <v>89</v>
      </c>
      <c r="C11" s="19" t="s">
        <v>25</v>
      </c>
      <c r="D11" s="19">
        <v>2700</v>
      </c>
      <c r="E11" s="19">
        <v>0</v>
      </c>
      <c r="F11" s="19">
        <v>-18</v>
      </c>
      <c r="G11" s="19">
        <v>20</v>
      </c>
      <c r="H11" s="19">
        <v>0</v>
      </c>
    </row>
    <row r="12" spans="1:8" x14ac:dyDescent="0.2">
      <c r="B12" s="19" t="s">
        <v>90</v>
      </c>
      <c r="C12" s="19" t="s">
        <v>19</v>
      </c>
      <c r="D12" s="19">
        <v>0</v>
      </c>
      <c r="E12" s="19">
        <v>0</v>
      </c>
      <c r="F12" s="19">
        <v>-13</v>
      </c>
      <c r="G12" s="19">
        <v>0</v>
      </c>
      <c r="H12" s="19">
        <v>1E+30</v>
      </c>
    </row>
    <row r="13" spans="1:8" x14ac:dyDescent="0.2">
      <c r="B13" s="19" t="s">
        <v>91</v>
      </c>
      <c r="C13" s="19" t="s">
        <v>22</v>
      </c>
      <c r="D13" s="19">
        <v>0</v>
      </c>
      <c r="E13" s="19">
        <v>0</v>
      </c>
      <c r="F13" s="19">
        <v>-16</v>
      </c>
      <c r="G13" s="19">
        <v>0</v>
      </c>
      <c r="H13" s="19">
        <v>1E+30</v>
      </c>
    </row>
    <row r="14" spans="1:8" x14ac:dyDescent="0.2">
      <c r="B14" s="19" t="s">
        <v>92</v>
      </c>
      <c r="C14" s="19" t="s">
        <v>25</v>
      </c>
      <c r="D14" s="19">
        <v>300</v>
      </c>
      <c r="E14" s="19">
        <v>0</v>
      </c>
      <c r="F14" s="19">
        <v>-18</v>
      </c>
      <c r="G14" s="19">
        <v>0</v>
      </c>
      <c r="H14" s="19">
        <v>1E+30</v>
      </c>
    </row>
    <row r="15" spans="1:8" x14ac:dyDescent="0.2">
      <c r="B15" s="19" t="s">
        <v>93</v>
      </c>
      <c r="C15" s="19" t="s">
        <v>19</v>
      </c>
      <c r="D15" s="19">
        <v>0</v>
      </c>
      <c r="E15" s="19">
        <v>0</v>
      </c>
      <c r="F15" s="19">
        <v>-13</v>
      </c>
      <c r="G15" s="19">
        <v>0</v>
      </c>
      <c r="H15" s="19">
        <v>1E+30</v>
      </c>
    </row>
    <row r="16" spans="1:8" x14ac:dyDescent="0.2">
      <c r="B16" s="19" t="s">
        <v>94</v>
      </c>
      <c r="C16" s="19" t="s">
        <v>22</v>
      </c>
      <c r="D16" s="19">
        <v>750</v>
      </c>
      <c r="E16" s="19">
        <v>0</v>
      </c>
      <c r="F16" s="19">
        <v>-16</v>
      </c>
      <c r="G16" s="19">
        <v>64</v>
      </c>
      <c r="H16" s="19">
        <v>0</v>
      </c>
    </row>
    <row r="17" spans="1:8" ht="16" thickBot="1" x14ac:dyDescent="0.25">
      <c r="B17" s="20" t="s">
        <v>95</v>
      </c>
      <c r="C17" s="20" t="s">
        <v>25</v>
      </c>
      <c r="D17" s="20">
        <v>0</v>
      </c>
      <c r="E17" s="20">
        <v>0</v>
      </c>
      <c r="F17" s="20">
        <v>-18</v>
      </c>
      <c r="G17" s="20">
        <v>0</v>
      </c>
      <c r="H17" s="20">
        <v>1E+30</v>
      </c>
    </row>
    <row r="19" spans="1:8" ht="16" thickBot="1" x14ac:dyDescent="0.25">
      <c r="A19" t="s">
        <v>82</v>
      </c>
    </row>
    <row r="20" spans="1:8" x14ac:dyDescent="0.2">
      <c r="B20" s="21"/>
      <c r="C20" s="21"/>
      <c r="D20" s="21" t="s">
        <v>73</v>
      </c>
      <c r="E20" s="21" t="s">
        <v>83</v>
      </c>
      <c r="F20" s="21" t="s">
        <v>85</v>
      </c>
      <c r="G20" s="21" t="s">
        <v>79</v>
      </c>
      <c r="H20" s="21" t="s">
        <v>79</v>
      </c>
    </row>
    <row r="21" spans="1:8" ht="16" thickBot="1" x14ac:dyDescent="0.25">
      <c r="B21" s="22" t="s">
        <v>71</v>
      </c>
      <c r="C21" s="22" t="s">
        <v>72</v>
      </c>
      <c r="D21" s="22" t="s">
        <v>74</v>
      </c>
      <c r="E21" s="22" t="s">
        <v>84</v>
      </c>
      <c r="F21" s="22" t="s">
        <v>86</v>
      </c>
      <c r="G21" s="22" t="s">
        <v>80</v>
      </c>
      <c r="H21" s="22" t="s">
        <v>81</v>
      </c>
    </row>
    <row r="22" spans="1:8" x14ac:dyDescent="0.2">
      <c r="B22" s="19" t="s">
        <v>96</v>
      </c>
      <c r="C22" s="19" t="s">
        <v>97</v>
      </c>
      <c r="D22" s="19">
        <v>3000</v>
      </c>
      <c r="E22" s="19">
        <v>0</v>
      </c>
      <c r="F22" s="19">
        <v>0</v>
      </c>
      <c r="G22" s="19">
        <v>1500</v>
      </c>
      <c r="H22" s="19">
        <v>1E+30</v>
      </c>
    </row>
    <row r="23" spans="1:8" x14ac:dyDescent="0.2">
      <c r="B23" s="19" t="s">
        <v>98</v>
      </c>
      <c r="C23" s="19" t="s">
        <v>99</v>
      </c>
      <c r="D23" s="19">
        <v>0</v>
      </c>
      <c r="E23" s="19">
        <v>0</v>
      </c>
      <c r="F23" s="19">
        <v>0</v>
      </c>
      <c r="G23" s="19">
        <v>1E+30</v>
      </c>
      <c r="H23" s="19">
        <v>900</v>
      </c>
    </row>
    <row r="24" spans="1:8" x14ac:dyDescent="0.2">
      <c r="B24" s="19" t="s">
        <v>100</v>
      </c>
      <c r="C24" s="19" t="s">
        <v>101</v>
      </c>
      <c r="D24" s="19">
        <v>2250</v>
      </c>
      <c r="E24" s="19">
        <v>0</v>
      </c>
      <c r="F24" s="19">
        <v>0</v>
      </c>
      <c r="G24" s="19">
        <v>1049.9999999999998</v>
      </c>
      <c r="H24" s="19">
        <v>1E+30</v>
      </c>
    </row>
    <row r="25" spans="1:8" x14ac:dyDescent="0.2">
      <c r="B25" s="19" t="s">
        <v>102</v>
      </c>
      <c r="C25" s="19" t="s">
        <v>103</v>
      </c>
      <c r="D25" s="19">
        <v>750</v>
      </c>
      <c r="E25" s="19">
        <v>0</v>
      </c>
      <c r="F25" s="19">
        <v>0</v>
      </c>
      <c r="G25" s="19">
        <v>1049.9999999999998</v>
      </c>
      <c r="H25" s="19">
        <v>750</v>
      </c>
    </row>
    <row r="26" spans="1:8" x14ac:dyDescent="0.2">
      <c r="B26" s="19" t="s">
        <v>104</v>
      </c>
      <c r="C26" s="19" t="s">
        <v>105</v>
      </c>
      <c r="D26" s="19">
        <v>2700</v>
      </c>
      <c r="E26" s="19">
        <v>0</v>
      </c>
      <c r="F26" s="19">
        <v>0</v>
      </c>
      <c r="G26" s="19">
        <v>900.00000000000011</v>
      </c>
      <c r="H26" s="19">
        <v>1E+30</v>
      </c>
    </row>
    <row r="27" spans="1:8" x14ac:dyDescent="0.2">
      <c r="B27" s="19" t="s">
        <v>106</v>
      </c>
      <c r="C27" s="19" t="s">
        <v>107</v>
      </c>
      <c r="D27" s="19">
        <v>300</v>
      </c>
      <c r="E27" s="19">
        <v>0</v>
      </c>
      <c r="F27" s="19">
        <v>0</v>
      </c>
      <c r="G27" s="19">
        <v>900.00000000000011</v>
      </c>
      <c r="H27" s="19">
        <v>300</v>
      </c>
    </row>
    <row r="28" spans="1:8" x14ac:dyDescent="0.2">
      <c r="B28" s="19" t="s">
        <v>108</v>
      </c>
      <c r="C28" s="19" t="s">
        <v>109</v>
      </c>
      <c r="D28" s="19">
        <v>3000</v>
      </c>
      <c r="E28" s="19">
        <v>-13</v>
      </c>
      <c r="F28" s="19">
        <v>3000</v>
      </c>
      <c r="G28" s="19">
        <v>1E+30</v>
      </c>
      <c r="H28" s="19">
        <v>3000</v>
      </c>
    </row>
    <row r="29" spans="1:8" x14ac:dyDescent="0.2">
      <c r="B29" s="19" t="s">
        <v>110</v>
      </c>
      <c r="C29" s="19" t="s">
        <v>27</v>
      </c>
      <c r="D29" s="19">
        <v>3000</v>
      </c>
      <c r="E29" s="19">
        <v>-16</v>
      </c>
      <c r="F29" s="19">
        <v>3000</v>
      </c>
      <c r="G29" s="19">
        <v>1E+30</v>
      </c>
      <c r="H29" s="19">
        <v>3000</v>
      </c>
    </row>
    <row r="30" spans="1:8" ht="16" thickBot="1" x14ac:dyDescent="0.25">
      <c r="B30" s="20" t="s">
        <v>111</v>
      </c>
      <c r="C30" s="20" t="s">
        <v>27</v>
      </c>
      <c r="D30" s="20">
        <v>3000</v>
      </c>
      <c r="E30" s="20">
        <v>-18</v>
      </c>
      <c r="F30" s="20">
        <v>3000</v>
      </c>
      <c r="G30" s="20">
        <v>1E+30</v>
      </c>
      <c r="H30" s="20">
        <v>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3E31-0C76-4F4E-916B-60A859B7F25F}">
  <dimension ref="A2:O36"/>
  <sheetViews>
    <sheetView topLeftCell="A4" workbookViewId="0">
      <selection activeCell="E16" sqref="E16"/>
    </sheetView>
  </sheetViews>
  <sheetFormatPr baseColWidth="10" defaultColWidth="8.83203125" defaultRowHeight="15" x14ac:dyDescent="0.2"/>
  <cols>
    <col min="1" max="1" width="20.1640625" customWidth="1"/>
    <col min="2" max="2" width="32.1640625" customWidth="1"/>
    <col min="3" max="3" width="18.83203125" customWidth="1"/>
    <col min="4" max="4" width="12" customWidth="1"/>
    <col min="5" max="5" width="14.83203125" customWidth="1"/>
    <col min="6" max="6" width="14" customWidth="1"/>
    <col min="7" max="7" width="11" customWidth="1"/>
  </cols>
  <sheetData>
    <row r="2" spans="2:15" ht="16" thickBot="1" x14ac:dyDescent="0.25"/>
    <row r="3" spans="2:15" ht="43.5" customHeight="1" thickBot="1" x14ac:dyDescent="0.25">
      <c r="B3" s="64" t="s">
        <v>10</v>
      </c>
      <c r="C3" s="65"/>
      <c r="D3" s="65"/>
      <c r="E3" s="65"/>
      <c r="F3" s="65"/>
      <c r="G3" s="65"/>
      <c r="H3" s="65"/>
      <c r="I3" s="65"/>
      <c r="J3" s="65"/>
      <c r="K3" s="65"/>
      <c r="L3" s="65"/>
      <c r="M3" s="65"/>
      <c r="N3" s="65"/>
      <c r="O3" s="66"/>
    </row>
    <row r="4" spans="2:15" ht="16" thickBot="1" x14ac:dyDescent="0.25"/>
    <row r="5" spans="2:15" ht="16" thickBot="1" x14ac:dyDescent="0.25">
      <c r="B5" s="67" t="s">
        <v>11</v>
      </c>
      <c r="C5" s="68"/>
      <c r="D5" s="68"/>
      <c r="E5" s="68"/>
      <c r="F5" s="68"/>
      <c r="G5" s="68"/>
      <c r="H5" s="68"/>
      <c r="I5" s="68"/>
      <c r="J5" s="68"/>
      <c r="K5" s="68"/>
      <c r="L5" s="68"/>
      <c r="M5" s="68"/>
      <c r="N5" s="68"/>
      <c r="O5" s="69"/>
    </row>
    <row r="6" spans="2:15" x14ac:dyDescent="0.2">
      <c r="E6" t="s">
        <v>54</v>
      </c>
    </row>
    <row r="7" spans="2:15" ht="32" x14ac:dyDescent="0.2">
      <c r="B7" s="1" t="s">
        <v>12</v>
      </c>
      <c r="C7" s="4" t="s">
        <v>13</v>
      </c>
      <c r="D7" s="1" t="s">
        <v>14</v>
      </c>
      <c r="E7" t="s">
        <v>19</v>
      </c>
      <c r="F7" t="s">
        <v>22</v>
      </c>
      <c r="G7" t="s">
        <v>25</v>
      </c>
    </row>
    <row r="8" spans="2:15" x14ac:dyDescent="0.2">
      <c r="B8" s="1">
        <v>1</v>
      </c>
      <c r="C8" s="1">
        <v>4500</v>
      </c>
      <c r="D8" s="5">
        <v>12</v>
      </c>
      <c r="E8" s="10">
        <v>1500</v>
      </c>
      <c r="F8" s="10">
        <v>1200.0000000000002</v>
      </c>
      <c r="G8" s="10">
        <v>1800</v>
      </c>
    </row>
    <row r="9" spans="2:15" x14ac:dyDescent="0.2">
      <c r="B9" s="1">
        <v>2</v>
      </c>
      <c r="C9" s="1">
        <v>2700</v>
      </c>
      <c r="D9" s="5">
        <v>10</v>
      </c>
      <c r="E9" s="10">
        <v>599.99999999999989</v>
      </c>
      <c r="F9" s="10">
        <v>1800</v>
      </c>
      <c r="G9" s="10">
        <v>300</v>
      </c>
    </row>
    <row r="10" spans="2:15" x14ac:dyDescent="0.2">
      <c r="B10" s="1">
        <v>3</v>
      </c>
      <c r="C10" s="1">
        <v>3500</v>
      </c>
      <c r="D10" s="5">
        <v>14</v>
      </c>
      <c r="E10" s="10">
        <v>900</v>
      </c>
      <c r="F10" s="10">
        <v>0</v>
      </c>
      <c r="G10" s="10">
        <v>900.00000000000011</v>
      </c>
    </row>
    <row r="11" spans="2:15" ht="16" thickBot="1" x14ac:dyDescent="0.25">
      <c r="C11">
        <f>SUM(C8:C10)</f>
        <v>10700</v>
      </c>
    </row>
    <row r="12" spans="2:15" ht="36" customHeight="1" thickBot="1" x14ac:dyDescent="0.25">
      <c r="B12" s="64" t="s">
        <v>15</v>
      </c>
      <c r="C12" s="65"/>
      <c r="D12" s="65"/>
      <c r="E12" s="65"/>
      <c r="F12" s="65"/>
      <c r="G12" s="65"/>
      <c r="H12" s="65"/>
      <c r="I12" s="65"/>
      <c r="J12" s="65"/>
      <c r="K12" s="65"/>
      <c r="L12" s="65"/>
      <c r="M12" s="65"/>
      <c r="N12" s="65"/>
      <c r="O12" s="66"/>
    </row>
    <row r="14" spans="2:15" ht="32" x14ac:dyDescent="0.2">
      <c r="B14" s="1" t="s">
        <v>16</v>
      </c>
      <c r="C14" s="4" t="s">
        <v>17</v>
      </c>
      <c r="D14" s="4" t="s">
        <v>18</v>
      </c>
      <c r="E14" t="s">
        <v>55</v>
      </c>
    </row>
    <row r="15" spans="2:15" x14ac:dyDescent="0.2">
      <c r="B15" s="60" t="s">
        <v>19</v>
      </c>
      <c r="C15" s="1" t="s">
        <v>20</v>
      </c>
      <c r="D15" s="62">
        <v>23</v>
      </c>
    </row>
    <row r="16" spans="2:15" x14ac:dyDescent="0.2">
      <c r="B16" s="61"/>
      <c r="C16" s="1" t="s">
        <v>21</v>
      </c>
      <c r="D16" s="63"/>
      <c r="E16" s="8">
        <f>SUM(E8:E10)</f>
        <v>3000</v>
      </c>
    </row>
    <row r="17" spans="1:5" x14ac:dyDescent="0.2">
      <c r="B17" s="60" t="s">
        <v>22</v>
      </c>
      <c r="C17" s="1" t="s">
        <v>23</v>
      </c>
      <c r="D17" s="62">
        <v>20</v>
      </c>
    </row>
    <row r="18" spans="1:5" x14ac:dyDescent="0.2">
      <c r="B18" s="61"/>
      <c r="C18" s="1" t="s">
        <v>24</v>
      </c>
      <c r="D18" s="63"/>
      <c r="E18" s="8">
        <f>SUM(F8:F10)</f>
        <v>3000</v>
      </c>
    </row>
    <row r="19" spans="1:5" x14ac:dyDescent="0.2">
      <c r="B19" s="60" t="s">
        <v>25</v>
      </c>
      <c r="C19" s="1" t="s">
        <v>26</v>
      </c>
      <c r="D19" s="62">
        <v>18</v>
      </c>
    </row>
    <row r="20" spans="1:5" x14ac:dyDescent="0.2">
      <c r="B20" s="61"/>
      <c r="C20" s="1" t="s">
        <v>27</v>
      </c>
      <c r="D20" s="63"/>
      <c r="E20" s="8">
        <f>SUM(G8:G10)</f>
        <v>3000</v>
      </c>
    </row>
    <row r="22" spans="1:5" x14ac:dyDescent="0.2">
      <c r="C22" s="9"/>
    </row>
    <row r="23" spans="1:5" x14ac:dyDescent="0.2">
      <c r="B23" t="s">
        <v>116</v>
      </c>
      <c r="C23" s="9">
        <f>D15*E16+D17*E18+D19*E20-SUM(E8:G8)*D8-SUM(E9:G9)*D9-SUM(E10:G10)*D10</f>
        <v>76800</v>
      </c>
    </row>
    <row r="24" spans="1:5" x14ac:dyDescent="0.2">
      <c r="B24" t="s">
        <v>56</v>
      </c>
    </row>
    <row r="25" spans="1:5" x14ac:dyDescent="0.2">
      <c r="A25" s="52" t="s">
        <v>19</v>
      </c>
      <c r="B25" s="8" t="s">
        <v>64</v>
      </c>
      <c r="C25" s="8">
        <f>E8</f>
        <v>1500</v>
      </c>
      <c r="D25" s="8" t="s">
        <v>58</v>
      </c>
      <c r="E25" s="8">
        <f>0.5*(E8+E9+E10)</f>
        <v>1500</v>
      </c>
    </row>
    <row r="26" spans="1:5" x14ac:dyDescent="0.2">
      <c r="A26" s="52"/>
      <c r="B26" s="8" t="s">
        <v>59</v>
      </c>
      <c r="C26" s="8">
        <f>E9</f>
        <v>599.99999999999989</v>
      </c>
      <c r="D26" s="8" t="s">
        <v>57</v>
      </c>
      <c r="E26" s="8">
        <f>0.3*(E8+E9+E10)</f>
        <v>900</v>
      </c>
    </row>
    <row r="27" spans="1:5" x14ac:dyDescent="0.2">
      <c r="A27" s="53" t="s">
        <v>22</v>
      </c>
      <c r="B27" s="12" t="s">
        <v>60</v>
      </c>
      <c r="C27" s="12">
        <f>F8</f>
        <v>1200.0000000000002</v>
      </c>
      <c r="D27" s="12" t="s">
        <v>58</v>
      </c>
      <c r="E27" s="12">
        <f>0.4*(F8+F9+F10)</f>
        <v>1200</v>
      </c>
    </row>
    <row r="28" spans="1:5" x14ac:dyDescent="0.2">
      <c r="A28" s="53"/>
      <c r="B28" s="12" t="s">
        <v>61</v>
      </c>
      <c r="C28" s="12">
        <f>F10</f>
        <v>0</v>
      </c>
      <c r="D28" s="12" t="s">
        <v>57</v>
      </c>
      <c r="E28" s="12">
        <f>0.25*(F8+F9+F10)</f>
        <v>750</v>
      </c>
    </row>
    <row r="29" spans="1:5" x14ac:dyDescent="0.2">
      <c r="A29" s="54" t="s">
        <v>25</v>
      </c>
      <c r="B29" s="11" t="s">
        <v>62</v>
      </c>
      <c r="C29" s="11">
        <f>G8</f>
        <v>1800</v>
      </c>
      <c r="D29" s="11" t="s">
        <v>58</v>
      </c>
      <c r="E29" s="11">
        <f>0.6*(G8+G9+G10)</f>
        <v>1800</v>
      </c>
    </row>
    <row r="30" spans="1:5" x14ac:dyDescent="0.2">
      <c r="A30" s="54"/>
      <c r="B30" s="11" t="s">
        <v>63</v>
      </c>
      <c r="C30" s="11">
        <f>G9</f>
        <v>300</v>
      </c>
      <c r="D30" s="11" t="s">
        <v>58</v>
      </c>
      <c r="E30" s="11">
        <f>0.1*(G8+G9+G10)</f>
        <v>300</v>
      </c>
    </row>
    <row r="31" spans="1:5" x14ac:dyDescent="0.2">
      <c r="A31" s="55" t="s">
        <v>66</v>
      </c>
      <c r="B31" s="13" t="s">
        <v>65</v>
      </c>
      <c r="C31" s="13">
        <f>E16</f>
        <v>3000</v>
      </c>
      <c r="D31" s="13" t="s">
        <v>58</v>
      </c>
      <c r="E31" s="14">
        <v>3000</v>
      </c>
    </row>
    <row r="32" spans="1:5" x14ac:dyDescent="0.2">
      <c r="A32" s="56"/>
      <c r="C32">
        <f>E18</f>
        <v>3000</v>
      </c>
      <c r="D32" t="s">
        <v>58</v>
      </c>
      <c r="E32" s="15">
        <v>3000</v>
      </c>
    </row>
    <row r="33" spans="1:5" x14ac:dyDescent="0.2">
      <c r="A33" s="57"/>
      <c r="B33" s="16"/>
      <c r="C33" s="16">
        <f>E20</f>
        <v>3000</v>
      </c>
      <c r="D33" s="16" t="s">
        <v>58</v>
      </c>
      <c r="E33" s="17">
        <v>3000</v>
      </c>
    </row>
    <row r="34" spans="1:5" x14ac:dyDescent="0.2">
      <c r="A34" s="58" t="s">
        <v>115</v>
      </c>
      <c r="B34" t="s">
        <v>114</v>
      </c>
      <c r="C34">
        <f>SUM(E8:G8)</f>
        <v>4500</v>
      </c>
      <c r="D34" t="s">
        <v>57</v>
      </c>
      <c r="E34">
        <f>C8</f>
        <v>4500</v>
      </c>
    </row>
    <row r="35" spans="1:5" x14ac:dyDescent="0.2">
      <c r="A35" s="59"/>
      <c r="B35" t="s">
        <v>112</v>
      </c>
      <c r="C35">
        <f>SUM(E9:G9)</f>
        <v>2700</v>
      </c>
      <c r="D35" t="s">
        <v>57</v>
      </c>
      <c r="E35">
        <f>C9</f>
        <v>2700</v>
      </c>
    </row>
    <row r="36" spans="1:5" x14ac:dyDescent="0.2">
      <c r="A36" s="59"/>
      <c r="B36" t="s">
        <v>113</v>
      </c>
      <c r="C36">
        <f>SUM(E10:G10)</f>
        <v>1800</v>
      </c>
      <c r="D36" t="s">
        <v>57</v>
      </c>
      <c r="E36">
        <f>C10</f>
        <v>3500</v>
      </c>
    </row>
  </sheetData>
  <mergeCells count="14">
    <mergeCell ref="B19:B20"/>
    <mergeCell ref="D19:D20"/>
    <mergeCell ref="B3:O3"/>
    <mergeCell ref="B5:O5"/>
    <mergeCell ref="B12:O12"/>
    <mergeCell ref="B15:B16"/>
    <mergeCell ref="D15:D16"/>
    <mergeCell ref="B17:B18"/>
    <mergeCell ref="D17:D18"/>
    <mergeCell ref="A25:A26"/>
    <mergeCell ref="A27:A28"/>
    <mergeCell ref="A29:A30"/>
    <mergeCell ref="A31:A33"/>
    <mergeCell ref="A34:A36"/>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E422-2C11-3947-B025-BA4807C53B00}">
  <dimension ref="A1:H29"/>
  <sheetViews>
    <sheetView showGridLines="0" workbookViewId="0">
      <selection sqref="A1:A3"/>
    </sheetView>
  </sheetViews>
  <sheetFormatPr baseColWidth="10" defaultRowHeight="15" x14ac:dyDescent="0.2"/>
  <cols>
    <col min="1" max="1" width="2.33203125" customWidth="1"/>
    <col min="2" max="2" width="6.33203125" bestFit="1" customWidth="1"/>
    <col min="3" max="3" width="28.5" bestFit="1" customWidth="1"/>
    <col min="4" max="5" width="12.1640625" bestFit="1" customWidth="1"/>
    <col min="6" max="6" width="9.6640625" bestFit="1" customWidth="1"/>
    <col min="7" max="8" width="12.1640625" bestFit="1" customWidth="1"/>
  </cols>
  <sheetData>
    <row r="1" spans="1:8" x14ac:dyDescent="0.2">
      <c r="A1" s="18" t="s">
        <v>67</v>
      </c>
    </row>
    <row r="2" spans="1:8" x14ac:dyDescent="0.2">
      <c r="A2" s="18" t="s">
        <v>158</v>
      </c>
    </row>
    <row r="3" spans="1:8" x14ac:dyDescent="0.2">
      <c r="A3" s="18" t="s">
        <v>159</v>
      </c>
    </row>
    <row r="6" spans="1:8" ht="16" thickBot="1" x14ac:dyDescent="0.25">
      <c r="A6" t="s">
        <v>70</v>
      </c>
    </row>
    <row r="7" spans="1:8" x14ac:dyDescent="0.2">
      <c r="B7" s="21"/>
      <c r="C7" s="21"/>
      <c r="D7" s="21" t="s">
        <v>73</v>
      </c>
      <c r="E7" s="21" t="s">
        <v>75</v>
      </c>
      <c r="F7" s="21" t="s">
        <v>77</v>
      </c>
      <c r="G7" s="21" t="s">
        <v>79</v>
      </c>
      <c r="H7" s="21" t="s">
        <v>79</v>
      </c>
    </row>
    <row r="8" spans="1:8" ht="16" thickBot="1" x14ac:dyDescent="0.25">
      <c r="B8" s="22" t="s">
        <v>71</v>
      </c>
      <c r="C8" s="22" t="s">
        <v>72</v>
      </c>
      <c r="D8" s="22" t="s">
        <v>74</v>
      </c>
      <c r="E8" s="22" t="s">
        <v>76</v>
      </c>
      <c r="F8" s="22" t="s">
        <v>78</v>
      </c>
      <c r="G8" s="22" t="s">
        <v>80</v>
      </c>
      <c r="H8" s="22" t="s">
        <v>81</v>
      </c>
    </row>
    <row r="9" spans="1:8" x14ac:dyDescent="0.2">
      <c r="B9" s="19" t="s">
        <v>160</v>
      </c>
      <c r="C9" s="19" t="s">
        <v>161</v>
      </c>
      <c r="D9" s="19">
        <v>0</v>
      </c>
      <c r="E9" s="19">
        <v>8.6903119868636983E-2</v>
      </c>
      <c r="F9" s="19">
        <v>0.18</v>
      </c>
      <c r="G9" s="19">
        <v>1E+30</v>
      </c>
      <c r="H9" s="19">
        <v>8.6903119868636983E-2</v>
      </c>
    </row>
    <row r="10" spans="1:8" x14ac:dyDescent="0.2">
      <c r="B10" s="19" t="s">
        <v>162</v>
      </c>
      <c r="C10" s="19" t="s">
        <v>163</v>
      </c>
      <c r="D10" s="19">
        <v>0</v>
      </c>
      <c r="E10" s="19">
        <v>0.10150410509031209</v>
      </c>
      <c r="F10" s="19">
        <v>0.22000000000000003</v>
      </c>
      <c r="G10" s="19">
        <v>1E+30</v>
      </c>
      <c r="H10" s="19">
        <v>0.10150410509031209</v>
      </c>
    </row>
    <row r="11" spans="1:8" x14ac:dyDescent="0.2">
      <c r="B11" s="19" t="s">
        <v>164</v>
      </c>
      <c r="C11" s="19" t="s">
        <v>165</v>
      </c>
      <c r="D11" s="19">
        <v>1.0246305418719215</v>
      </c>
      <c r="E11" s="19">
        <v>0</v>
      </c>
      <c r="F11" s="19">
        <v>9.9999999999999978E-2</v>
      </c>
      <c r="G11" s="19">
        <v>7.1794871794884875E-4</v>
      </c>
      <c r="H11" s="19">
        <v>3.8959999999999953E-2</v>
      </c>
    </row>
    <row r="12" spans="1:8" x14ac:dyDescent="0.2">
      <c r="B12" s="19" t="s">
        <v>166</v>
      </c>
      <c r="C12" s="19" t="s">
        <v>167</v>
      </c>
      <c r="D12" s="19">
        <v>0</v>
      </c>
      <c r="E12" s="19">
        <v>3.0298850574712578E-2</v>
      </c>
      <c r="F12" s="19">
        <v>0.12</v>
      </c>
      <c r="G12" s="19">
        <v>1E+30</v>
      </c>
      <c r="H12" s="19">
        <v>3.0298850574712578E-2</v>
      </c>
    </row>
    <row r="13" spans="1:8" x14ac:dyDescent="0.2">
      <c r="B13" s="19" t="s">
        <v>168</v>
      </c>
      <c r="C13" s="19" t="s">
        <v>169</v>
      </c>
      <c r="D13" s="19">
        <v>0</v>
      </c>
      <c r="E13" s="19">
        <v>2.0344827586206999E-2</v>
      </c>
      <c r="F13" s="19">
        <v>9.9999999999999978E-2</v>
      </c>
      <c r="G13" s="19">
        <v>1E+30</v>
      </c>
      <c r="H13" s="19">
        <v>2.0344827586206999E-2</v>
      </c>
    </row>
    <row r="14" spans="1:8" x14ac:dyDescent="0.2">
      <c r="B14" s="19" t="s">
        <v>170</v>
      </c>
      <c r="C14" s="19" t="s">
        <v>171</v>
      </c>
      <c r="D14" s="19">
        <v>0</v>
      </c>
      <c r="E14" s="19">
        <v>5.6413793103448309E-2</v>
      </c>
      <c r="F14" s="19">
        <v>8.9999999999999969E-2</v>
      </c>
      <c r="G14" s="19">
        <v>1E+30</v>
      </c>
      <c r="H14" s="19">
        <v>5.6413793103448309E-2</v>
      </c>
    </row>
    <row r="15" spans="1:8" x14ac:dyDescent="0.2">
      <c r="B15" s="19" t="s">
        <v>172</v>
      </c>
      <c r="C15" s="19" t="s">
        <v>173</v>
      </c>
      <c r="D15" s="19">
        <v>0</v>
      </c>
      <c r="E15" s="19">
        <v>0.32398357963875213</v>
      </c>
      <c r="F15" s="19">
        <v>0.4</v>
      </c>
      <c r="G15" s="19">
        <v>1E+30</v>
      </c>
      <c r="H15" s="19">
        <v>0.32398357963875213</v>
      </c>
    </row>
    <row r="16" spans="1:8" x14ac:dyDescent="0.2">
      <c r="B16" s="19" t="s">
        <v>174</v>
      </c>
      <c r="C16" s="19" t="s">
        <v>175</v>
      </c>
      <c r="D16" s="19">
        <v>1.2413793103448276</v>
      </c>
      <c r="E16" s="19">
        <v>0</v>
      </c>
      <c r="F16" s="19">
        <v>0.15999999999999992</v>
      </c>
      <c r="G16" s="19">
        <v>5.3846153846163671E-3</v>
      </c>
      <c r="H16" s="19">
        <v>7.4285714285714413E-2</v>
      </c>
    </row>
    <row r="17" spans="1:8" x14ac:dyDescent="0.2">
      <c r="B17" s="19" t="s">
        <v>176</v>
      </c>
      <c r="C17" s="19" t="s">
        <v>177</v>
      </c>
      <c r="D17" s="19">
        <v>0</v>
      </c>
      <c r="E17" s="19">
        <v>0.38407881773399044</v>
      </c>
      <c r="F17" s="19">
        <v>0.5</v>
      </c>
      <c r="G17" s="19">
        <v>1E+30</v>
      </c>
      <c r="H17" s="19">
        <v>0.38407881773399044</v>
      </c>
    </row>
    <row r="18" spans="1:8" ht="16" thickBot="1" x14ac:dyDescent="0.25">
      <c r="B18" s="20" t="s">
        <v>178</v>
      </c>
      <c r="C18" s="20" t="s">
        <v>179</v>
      </c>
      <c r="D18" s="20">
        <v>2.9753694581280783</v>
      </c>
      <c r="E18" s="20">
        <v>0</v>
      </c>
      <c r="F18" s="20">
        <v>7.0000000000000062E-2</v>
      </c>
      <c r="G18" s="20">
        <v>3.0651162790697611E-2</v>
      </c>
      <c r="H18" s="20">
        <v>4.1176470588242788E-4</v>
      </c>
    </row>
    <row r="20" spans="1:8" ht="16" thickBot="1" x14ac:dyDescent="0.25">
      <c r="A20" t="s">
        <v>82</v>
      </c>
    </row>
    <row r="21" spans="1:8" x14ac:dyDescent="0.2">
      <c r="B21" s="21"/>
      <c r="C21" s="21"/>
      <c r="D21" s="21" t="s">
        <v>73</v>
      </c>
      <c r="E21" s="21" t="s">
        <v>83</v>
      </c>
      <c r="F21" s="21" t="s">
        <v>85</v>
      </c>
      <c r="G21" s="21" t="s">
        <v>79</v>
      </c>
      <c r="H21" s="21" t="s">
        <v>79</v>
      </c>
    </row>
    <row r="22" spans="1:8" ht="16" thickBot="1" x14ac:dyDescent="0.25">
      <c r="B22" s="22" t="s">
        <v>71</v>
      </c>
      <c r="C22" s="22" t="s">
        <v>72</v>
      </c>
      <c r="D22" s="22" t="s">
        <v>74</v>
      </c>
      <c r="E22" s="22" t="s">
        <v>84</v>
      </c>
      <c r="F22" s="22" t="s">
        <v>86</v>
      </c>
      <c r="G22" s="22" t="s">
        <v>80</v>
      </c>
      <c r="H22" s="22" t="s">
        <v>81</v>
      </c>
    </row>
    <row r="23" spans="1:8" x14ac:dyDescent="0.2">
      <c r="B23" s="19" t="s">
        <v>180</v>
      </c>
      <c r="C23" s="19" t="s">
        <v>181</v>
      </c>
      <c r="D23" s="19">
        <v>420</v>
      </c>
      <c r="E23" s="19">
        <v>9.5960591133004765E-4</v>
      </c>
      <c r="F23" s="19">
        <v>420</v>
      </c>
      <c r="G23" s="19">
        <v>120.80000000000003</v>
      </c>
      <c r="H23" s="19">
        <v>1.0000000000000067</v>
      </c>
    </row>
    <row r="24" spans="1:8" x14ac:dyDescent="0.2">
      <c r="B24" s="19" t="s">
        <v>182</v>
      </c>
      <c r="C24" s="19" t="s">
        <v>183</v>
      </c>
      <c r="D24" s="19">
        <v>5.0246305418719217</v>
      </c>
      <c r="E24" s="19">
        <v>0</v>
      </c>
      <c r="F24" s="19">
        <v>5</v>
      </c>
      <c r="G24" s="19">
        <v>2.463054187192135E-2</v>
      </c>
      <c r="H24" s="19">
        <v>1E+30</v>
      </c>
    </row>
    <row r="25" spans="1:8" x14ac:dyDescent="0.2">
      <c r="B25" s="19" t="s">
        <v>184</v>
      </c>
      <c r="C25" s="19" t="s">
        <v>185</v>
      </c>
      <c r="D25" s="19">
        <v>400</v>
      </c>
      <c r="E25" s="19">
        <v>2.5615763546798077E-4</v>
      </c>
      <c r="F25" s="19">
        <v>400</v>
      </c>
      <c r="G25" s="19">
        <v>2.5000000000000173</v>
      </c>
      <c r="H25" s="19">
        <v>302.00000000000011</v>
      </c>
    </row>
    <row r="26" spans="1:8" x14ac:dyDescent="0.2">
      <c r="B26" s="19" t="s">
        <v>186</v>
      </c>
      <c r="C26" s="19" t="s">
        <v>187</v>
      </c>
      <c r="D26" s="19">
        <v>25.221674876847292</v>
      </c>
      <c r="E26" s="19">
        <v>0</v>
      </c>
      <c r="F26" s="19">
        <v>20</v>
      </c>
      <c r="G26" s="19">
        <v>5.22167487684729</v>
      </c>
      <c r="H26" s="19">
        <v>1E+30</v>
      </c>
    </row>
    <row r="27" spans="1:8" x14ac:dyDescent="0.2">
      <c r="B27" s="19" t="s">
        <v>188</v>
      </c>
      <c r="C27" s="19" t="s">
        <v>189</v>
      </c>
      <c r="D27" s="19">
        <v>12</v>
      </c>
      <c r="E27" s="19">
        <v>3.2183908045982856E-4</v>
      </c>
      <c r="F27" s="19">
        <v>12</v>
      </c>
      <c r="G27" s="19">
        <v>0.21428571428571597</v>
      </c>
      <c r="H27" s="19">
        <v>3.8067226890756309</v>
      </c>
    </row>
    <row r="28" spans="1:8" x14ac:dyDescent="0.2">
      <c r="B28" s="19" t="s">
        <v>190</v>
      </c>
      <c r="C28" s="19" t="s">
        <v>191</v>
      </c>
      <c r="D28" s="19">
        <v>20</v>
      </c>
      <c r="E28" s="19">
        <v>0</v>
      </c>
      <c r="F28" s="19">
        <v>20</v>
      </c>
      <c r="G28" s="19">
        <v>1E+30</v>
      </c>
      <c r="H28" s="19">
        <v>0</v>
      </c>
    </row>
    <row r="29" spans="1:8" ht="16" thickBot="1" x14ac:dyDescent="0.25">
      <c r="B29" s="20" t="s">
        <v>192</v>
      </c>
      <c r="C29" s="20" t="s">
        <v>191</v>
      </c>
      <c r="D29" s="20">
        <v>30</v>
      </c>
      <c r="E29" s="20">
        <v>0</v>
      </c>
      <c r="F29" s="20">
        <v>30</v>
      </c>
      <c r="G29" s="20">
        <v>1E+30</v>
      </c>
      <c r="H29" s="2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88F64-CEDC-435B-A2CE-E708F606E7E5}">
  <dimension ref="A2:T43"/>
  <sheetViews>
    <sheetView topLeftCell="A16" workbookViewId="0">
      <selection activeCell="A50" sqref="A50"/>
    </sheetView>
  </sheetViews>
  <sheetFormatPr baseColWidth="10" defaultColWidth="8.83203125" defaultRowHeight="15" x14ac:dyDescent="0.2"/>
  <cols>
    <col min="1" max="1" width="17" customWidth="1"/>
    <col min="2" max="2" width="17.6640625" customWidth="1"/>
    <col min="3" max="3" width="12.6640625" customWidth="1"/>
    <col min="4" max="4" width="10.5" customWidth="1"/>
    <col min="5" max="5" width="13.5" customWidth="1"/>
    <col min="6" max="6" width="12.1640625" customWidth="1"/>
    <col min="15" max="15" width="16.1640625" customWidth="1"/>
  </cols>
  <sheetData>
    <row r="2" spans="2:20" ht="16" thickBot="1" x14ac:dyDescent="0.25"/>
    <row r="3" spans="2:20" ht="105.75" customHeight="1" thickBot="1" x14ac:dyDescent="0.3">
      <c r="B3" s="70" t="s">
        <v>33</v>
      </c>
      <c r="C3" s="71"/>
      <c r="D3" s="71"/>
      <c r="E3" s="71"/>
      <c r="F3" s="71"/>
      <c r="G3" s="71"/>
      <c r="H3" s="71"/>
      <c r="I3" s="71"/>
      <c r="J3" s="71"/>
      <c r="K3" s="71"/>
      <c r="L3" s="71"/>
      <c r="M3" s="71"/>
      <c r="N3" s="71"/>
      <c r="O3" s="71"/>
      <c r="P3" s="71"/>
      <c r="Q3" s="71"/>
      <c r="R3" s="71"/>
      <c r="S3" s="71"/>
      <c r="T3" s="72"/>
    </row>
    <row r="7" spans="2:20" ht="32" x14ac:dyDescent="0.2">
      <c r="C7" s="1"/>
      <c r="D7" s="6" t="s">
        <v>34</v>
      </c>
      <c r="E7" s="6" t="s">
        <v>35</v>
      </c>
      <c r="F7" s="6" t="s">
        <v>36</v>
      </c>
      <c r="G7" s="6" t="s">
        <v>37</v>
      </c>
      <c r="H7" s="6" t="s">
        <v>38</v>
      </c>
      <c r="I7" s="6" t="s">
        <v>39</v>
      </c>
      <c r="J7" s="6" t="s">
        <v>40</v>
      </c>
      <c r="K7" s="6" t="s">
        <v>41</v>
      </c>
    </row>
    <row r="8" spans="2:20" x14ac:dyDescent="0.2">
      <c r="C8" s="7" t="s">
        <v>42</v>
      </c>
      <c r="D8" s="1">
        <v>90</v>
      </c>
      <c r="E8" s="1">
        <v>0</v>
      </c>
      <c r="F8" s="1">
        <v>0</v>
      </c>
      <c r="G8" s="1">
        <v>6</v>
      </c>
      <c r="H8" s="1">
        <v>20</v>
      </c>
      <c r="I8" s="1">
        <v>3</v>
      </c>
      <c r="J8" s="1">
        <v>5</v>
      </c>
      <c r="K8" s="1">
        <v>0.18</v>
      </c>
    </row>
    <row r="9" spans="2:20" x14ac:dyDescent="0.2">
      <c r="C9" s="7" t="s">
        <v>43</v>
      </c>
      <c r="D9" s="1">
        <v>110</v>
      </c>
      <c r="E9" s="1">
        <v>2</v>
      </c>
      <c r="F9" s="1">
        <v>0</v>
      </c>
      <c r="G9" s="1">
        <v>4</v>
      </c>
      <c r="H9" s="1">
        <v>48</v>
      </c>
      <c r="I9" s="1">
        <v>4</v>
      </c>
      <c r="J9" s="1">
        <v>2</v>
      </c>
      <c r="K9" s="1">
        <v>0.22</v>
      </c>
    </row>
    <row r="10" spans="2:20" x14ac:dyDescent="0.2">
      <c r="C10" s="7" t="s">
        <v>44</v>
      </c>
      <c r="D10" s="1">
        <v>100</v>
      </c>
      <c r="E10" s="1">
        <v>2</v>
      </c>
      <c r="F10" s="1">
        <v>0</v>
      </c>
      <c r="G10" s="1">
        <v>2</v>
      </c>
      <c r="H10" s="1">
        <v>12</v>
      </c>
      <c r="I10" s="1">
        <v>5</v>
      </c>
      <c r="J10" s="1">
        <v>3</v>
      </c>
      <c r="K10" s="1">
        <v>0.1</v>
      </c>
    </row>
    <row r="11" spans="2:20" x14ac:dyDescent="0.2">
      <c r="C11" s="7" t="s">
        <v>45</v>
      </c>
      <c r="D11" s="1">
        <v>90</v>
      </c>
      <c r="E11" s="1">
        <v>2</v>
      </c>
      <c r="F11" s="1">
        <v>0</v>
      </c>
      <c r="G11" s="1">
        <v>3</v>
      </c>
      <c r="H11" s="1">
        <v>8</v>
      </c>
      <c r="I11" s="1">
        <v>6</v>
      </c>
      <c r="J11" s="1">
        <v>4</v>
      </c>
      <c r="K11" s="1">
        <v>0.12</v>
      </c>
    </row>
    <row r="12" spans="2:20" x14ac:dyDescent="0.2">
      <c r="C12" s="7" t="s">
        <v>46</v>
      </c>
      <c r="D12" s="1">
        <v>75</v>
      </c>
      <c r="E12" s="1">
        <v>5</v>
      </c>
      <c r="F12" s="1">
        <v>270</v>
      </c>
      <c r="G12" s="1">
        <v>1</v>
      </c>
      <c r="H12" s="1">
        <v>30</v>
      </c>
      <c r="I12" s="1">
        <v>7</v>
      </c>
      <c r="J12" s="1">
        <v>0</v>
      </c>
      <c r="K12" s="1">
        <v>0.1</v>
      </c>
    </row>
    <row r="13" spans="2:20" x14ac:dyDescent="0.2">
      <c r="C13" s="7" t="s">
        <v>47</v>
      </c>
      <c r="D13" s="1">
        <v>35</v>
      </c>
      <c r="E13" s="1">
        <v>3</v>
      </c>
      <c r="F13" s="1">
        <v>8</v>
      </c>
      <c r="G13" s="1">
        <v>0</v>
      </c>
      <c r="H13" s="1">
        <v>0</v>
      </c>
      <c r="I13" s="1">
        <v>2</v>
      </c>
      <c r="J13" s="1">
        <v>0</v>
      </c>
      <c r="K13" s="1">
        <v>0.09</v>
      </c>
    </row>
    <row r="14" spans="2:20" x14ac:dyDescent="0.2">
      <c r="C14" s="7" t="s">
        <v>48</v>
      </c>
      <c r="D14" s="1">
        <v>65</v>
      </c>
      <c r="E14" s="1">
        <v>0</v>
      </c>
      <c r="F14" s="1">
        <v>0</v>
      </c>
      <c r="G14" s="1">
        <v>1</v>
      </c>
      <c r="H14" s="1">
        <v>52</v>
      </c>
      <c r="I14" s="1">
        <v>1</v>
      </c>
      <c r="J14" s="1">
        <v>1</v>
      </c>
      <c r="K14" s="1">
        <v>0.4</v>
      </c>
    </row>
    <row r="15" spans="2:20" x14ac:dyDescent="0.2">
      <c r="C15" s="7" t="s">
        <v>49</v>
      </c>
      <c r="D15" s="1">
        <v>100</v>
      </c>
      <c r="E15" s="1">
        <v>4</v>
      </c>
      <c r="F15" s="1">
        <v>12</v>
      </c>
      <c r="G15" s="1">
        <v>0</v>
      </c>
      <c r="H15" s="1">
        <v>250</v>
      </c>
      <c r="I15" s="1">
        <v>9</v>
      </c>
      <c r="J15" s="1">
        <v>0</v>
      </c>
      <c r="K15" s="1">
        <v>0.16</v>
      </c>
    </row>
    <row r="16" spans="2:20" x14ac:dyDescent="0.2">
      <c r="C16" s="7" t="s">
        <v>50</v>
      </c>
      <c r="D16" s="1">
        <v>120</v>
      </c>
      <c r="E16" s="1">
        <v>0</v>
      </c>
      <c r="F16" s="1">
        <v>0</v>
      </c>
      <c r="G16" s="1">
        <v>0</v>
      </c>
      <c r="H16" s="1">
        <v>3</v>
      </c>
      <c r="I16" s="1">
        <v>1</v>
      </c>
      <c r="J16" s="1">
        <v>0</v>
      </c>
      <c r="K16" s="1">
        <v>0.5</v>
      </c>
    </row>
    <row r="17" spans="2:20" x14ac:dyDescent="0.2">
      <c r="C17" s="7" t="s">
        <v>51</v>
      </c>
      <c r="D17" s="1">
        <v>65</v>
      </c>
      <c r="E17" s="1">
        <v>1</v>
      </c>
      <c r="F17" s="1">
        <v>0</v>
      </c>
      <c r="G17" s="1">
        <v>1</v>
      </c>
      <c r="H17" s="1">
        <v>26</v>
      </c>
      <c r="I17" s="1">
        <v>3</v>
      </c>
      <c r="J17" s="1">
        <v>3</v>
      </c>
      <c r="K17" s="1">
        <v>7.0000000000000007E-2</v>
      </c>
    </row>
    <row r="18" spans="2:20" ht="16" thickBot="1" x14ac:dyDescent="0.25"/>
    <row r="19" spans="2:20" ht="40.5" customHeight="1" thickBot="1" x14ac:dyDescent="0.3">
      <c r="B19" s="70" t="s">
        <v>52</v>
      </c>
      <c r="C19" s="73"/>
      <c r="D19" s="73"/>
      <c r="E19" s="73"/>
      <c r="F19" s="73"/>
      <c r="G19" s="73"/>
      <c r="H19" s="73"/>
      <c r="I19" s="73"/>
      <c r="J19" s="73"/>
      <c r="K19" s="73"/>
      <c r="L19" s="73"/>
      <c r="M19" s="73"/>
      <c r="N19" s="73"/>
      <c r="O19" s="73"/>
      <c r="P19" s="73"/>
      <c r="Q19" s="73"/>
      <c r="R19" s="73"/>
      <c r="S19" s="73"/>
      <c r="T19" s="74"/>
    </row>
    <row r="20" spans="2:20" ht="32" x14ac:dyDescent="0.2">
      <c r="B20" s="27" t="s">
        <v>149</v>
      </c>
      <c r="C20" s="26" t="s">
        <v>76</v>
      </c>
      <c r="D20" s="28" t="s">
        <v>148</v>
      </c>
      <c r="E20" s="30" t="s">
        <v>34</v>
      </c>
      <c r="F20" s="31" t="s">
        <v>35</v>
      </c>
      <c r="G20" s="31" t="s">
        <v>36</v>
      </c>
      <c r="H20" s="31" t="s">
        <v>37</v>
      </c>
      <c r="I20" s="31" t="s">
        <v>38</v>
      </c>
      <c r="J20" s="31" t="s">
        <v>39</v>
      </c>
      <c r="K20" s="31" t="s">
        <v>40</v>
      </c>
    </row>
    <row r="21" spans="2:20" x14ac:dyDescent="0.2">
      <c r="B21" s="32" t="s">
        <v>42</v>
      </c>
      <c r="C21" s="33">
        <v>0.18</v>
      </c>
      <c r="D21" s="33">
        <v>1</v>
      </c>
      <c r="E21" s="1">
        <v>90</v>
      </c>
      <c r="F21" s="1">
        <v>0</v>
      </c>
      <c r="G21" s="1">
        <v>0</v>
      </c>
      <c r="H21" s="1">
        <v>6</v>
      </c>
      <c r="I21" s="1">
        <v>20</v>
      </c>
      <c r="J21" s="1">
        <v>3</v>
      </c>
      <c r="K21" s="1">
        <v>5</v>
      </c>
    </row>
    <row r="22" spans="2:20" x14ac:dyDescent="0.2">
      <c r="B22" s="32" t="s">
        <v>43</v>
      </c>
      <c r="C22" s="33">
        <v>0.22</v>
      </c>
      <c r="D22" s="33">
        <v>1</v>
      </c>
      <c r="E22" s="1">
        <v>110</v>
      </c>
      <c r="F22" s="1">
        <v>2</v>
      </c>
      <c r="G22" s="1">
        <v>0</v>
      </c>
      <c r="H22" s="1">
        <v>4</v>
      </c>
      <c r="I22" s="1">
        <v>48</v>
      </c>
      <c r="J22" s="1">
        <v>4</v>
      </c>
      <c r="K22" s="1">
        <v>2</v>
      </c>
    </row>
    <row r="23" spans="2:20" x14ac:dyDescent="0.2">
      <c r="B23" s="32" t="s">
        <v>44</v>
      </c>
      <c r="C23" s="33">
        <v>0.1</v>
      </c>
      <c r="D23" s="33">
        <v>1</v>
      </c>
      <c r="E23" s="1">
        <v>100</v>
      </c>
      <c r="F23" s="1">
        <v>2</v>
      </c>
      <c r="G23" s="1">
        <v>0</v>
      </c>
      <c r="H23" s="1">
        <v>2</v>
      </c>
      <c r="I23" s="1">
        <v>12</v>
      </c>
      <c r="J23" s="1">
        <v>5</v>
      </c>
      <c r="K23" s="1">
        <v>3</v>
      </c>
    </row>
    <row r="24" spans="2:20" x14ac:dyDescent="0.2">
      <c r="B24" s="29" t="s">
        <v>45</v>
      </c>
      <c r="C24" s="1">
        <v>0.12</v>
      </c>
      <c r="D24" s="1">
        <v>0</v>
      </c>
      <c r="E24" s="1">
        <v>90</v>
      </c>
      <c r="F24" s="1">
        <v>2</v>
      </c>
      <c r="G24" s="1">
        <v>0</v>
      </c>
      <c r="H24" s="1">
        <v>3</v>
      </c>
      <c r="I24" s="1">
        <v>8</v>
      </c>
      <c r="J24" s="1">
        <v>6</v>
      </c>
      <c r="K24" s="1">
        <v>4</v>
      </c>
    </row>
    <row r="25" spans="2:20" x14ac:dyDescent="0.2">
      <c r="B25" s="29" t="s">
        <v>46</v>
      </c>
      <c r="C25" s="1">
        <v>0.1</v>
      </c>
      <c r="D25" s="1">
        <v>0</v>
      </c>
      <c r="E25" s="1">
        <v>75</v>
      </c>
      <c r="F25" s="1">
        <v>5</v>
      </c>
      <c r="G25" s="1">
        <v>270</v>
      </c>
      <c r="H25" s="1">
        <v>1</v>
      </c>
      <c r="I25" s="1">
        <v>30</v>
      </c>
      <c r="J25" s="1">
        <v>7</v>
      </c>
      <c r="K25" s="1">
        <v>0</v>
      </c>
    </row>
    <row r="26" spans="2:20" x14ac:dyDescent="0.2">
      <c r="B26" s="29" t="s">
        <v>47</v>
      </c>
      <c r="C26" s="1">
        <v>0.09</v>
      </c>
      <c r="D26" s="1">
        <v>0</v>
      </c>
      <c r="E26" s="1">
        <v>35</v>
      </c>
      <c r="F26" s="1">
        <v>3</v>
      </c>
      <c r="G26" s="1">
        <v>8</v>
      </c>
      <c r="H26" s="1">
        <v>0</v>
      </c>
      <c r="I26" s="1">
        <v>0</v>
      </c>
      <c r="J26" s="1">
        <v>2</v>
      </c>
      <c r="K26" s="1">
        <v>0</v>
      </c>
    </row>
    <row r="27" spans="2:20" x14ac:dyDescent="0.2">
      <c r="B27" s="32" t="s">
        <v>48</v>
      </c>
      <c r="C27" s="33">
        <v>0.4</v>
      </c>
      <c r="D27" s="33">
        <v>1</v>
      </c>
      <c r="E27" s="1">
        <v>65</v>
      </c>
      <c r="F27" s="1">
        <v>0</v>
      </c>
      <c r="G27" s="1">
        <v>0</v>
      </c>
      <c r="H27" s="1">
        <v>1</v>
      </c>
      <c r="I27" s="1">
        <v>52</v>
      </c>
      <c r="J27" s="1">
        <v>1</v>
      </c>
      <c r="K27" s="1">
        <v>1</v>
      </c>
    </row>
    <row r="28" spans="2:20" x14ac:dyDescent="0.2">
      <c r="B28" s="29" t="s">
        <v>49</v>
      </c>
      <c r="C28" s="1">
        <v>0.16</v>
      </c>
      <c r="D28" s="1">
        <v>1</v>
      </c>
      <c r="E28" s="1">
        <v>100</v>
      </c>
      <c r="F28" s="1">
        <v>4</v>
      </c>
      <c r="G28" s="1">
        <v>12</v>
      </c>
      <c r="H28" s="1">
        <v>0</v>
      </c>
      <c r="I28" s="1">
        <v>250</v>
      </c>
      <c r="J28" s="1">
        <v>9</v>
      </c>
      <c r="K28" s="1">
        <v>0</v>
      </c>
    </row>
    <row r="29" spans="2:20" x14ac:dyDescent="0.2">
      <c r="B29" s="29" t="s">
        <v>50</v>
      </c>
      <c r="C29" s="1">
        <v>0.5</v>
      </c>
      <c r="D29" s="1">
        <v>0</v>
      </c>
      <c r="E29" s="1">
        <v>120</v>
      </c>
      <c r="F29" s="1">
        <v>0</v>
      </c>
      <c r="G29" s="1">
        <v>0</v>
      </c>
      <c r="H29" s="1">
        <v>0</v>
      </c>
      <c r="I29" s="1">
        <v>3</v>
      </c>
      <c r="J29" s="1">
        <v>1</v>
      </c>
      <c r="K29" s="1">
        <v>0</v>
      </c>
    </row>
    <row r="30" spans="2:20" ht="16" thickBot="1" x14ac:dyDescent="0.25">
      <c r="B30" s="34" t="s">
        <v>51</v>
      </c>
      <c r="C30" s="33">
        <v>7.0000000000000007E-2</v>
      </c>
      <c r="D30" s="33">
        <v>1</v>
      </c>
      <c r="E30" s="1">
        <v>65</v>
      </c>
      <c r="F30" s="1">
        <v>1</v>
      </c>
      <c r="G30" s="1">
        <v>0</v>
      </c>
      <c r="H30" s="1">
        <v>1</v>
      </c>
      <c r="I30" s="1">
        <v>26</v>
      </c>
      <c r="J30" s="1">
        <v>3</v>
      </c>
      <c r="K30" s="1">
        <v>3</v>
      </c>
    </row>
    <row r="31" spans="2:20" x14ac:dyDescent="0.2">
      <c r="D31" t="s">
        <v>145</v>
      </c>
    </row>
    <row r="32" spans="2:20" x14ac:dyDescent="0.2">
      <c r="D32">
        <f>SUMPRODUCT(C21:C30,D21:D30)</f>
        <v>1.1300000000000001</v>
      </c>
    </row>
    <row r="35" spans="1:5" x14ac:dyDescent="0.2">
      <c r="B35" s="18" t="s">
        <v>82</v>
      </c>
    </row>
    <row r="36" spans="1:5" x14ac:dyDescent="0.2">
      <c r="A36" t="s">
        <v>140</v>
      </c>
      <c r="B36" t="s">
        <v>150</v>
      </c>
      <c r="C36">
        <f>SUMPRODUCT($E$21:$E$30,D21:D30)</f>
        <v>530</v>
      </c>
      <c r="D36" t="s">
        <v>58</v>
      </c>
      <c r="E36">
        <v>420</v>
      </c>
    </row>
    <row r="37" spans="1:5" x14ac:dyDescent="0.2">
      <c r="A37" t="s">
        <v>141</v>
      </c>
      <c r="B37" t="s">
        <v>151</v>
      </c>
      <c r="C37">
        <f>SUMPRODUCT(H21:H30,$D$21:$D$30)</f>
        <v>14</v>
      </c>
      <c r="D37" t="s">
        <v>58</v>
      </c>
      <c r="E37">
        <v>5</v>
      </c>
    </row>
    <row r="38" spans="1:5" x14ac:dyDescent="0.2">
      <c r="A38" t="s">
        <v>142</v>
      </c>
      <c r="B38" t="s">
        <v>152</v>
      </c>
      <c r="C38">
        <f>SUMPRODUCT(I21:I30,$D$21:$D$30)</f>
        <v>408</v>
      </c>
      <c r="D38" t="s">
        <v>58</v>
      </c>
      <c r="E38">
        <v>400</v>
      </c>
    </row>
    <row r="39" spans="1:5" x14ac:dyDescent="0.2">
      <c r="A39" t="s">
        <v>143</v>
      </c>
      <c r="B39" t="s">
        <v>153</v>
      </c>
      <c r="C39">
        <f>SUMPRODUCT(J21:J30,$D$21:$D$30)</f>
        <v>25</v>
      </c>
      <c r="D39" t="s">
        <v>58</v>
      </c>
      <c r="E39">
        <v>20</v>
      </c>
    </row>
    <row r="40" spans="1:5" x14ac:dyDescent="0.2">
      <c r="A40" t="s">
        <v>144</v>
      </c>
      <c r="B40" t="s">
        <v>154</v>
      </c>
      <c r="C40">
        <f>SUMPRODUCT(K21:K30,$D$21:$D$30)</f>
        <v>14</v>
      </c>
      <c r="D40" t="s">
        <v>58</v>
      </c>
      <c r="E40">
        <v>12</v>
      </c>
    </row>
    <row r="41" spans="1:5" x14ac:dyDescent="0.2">
      <c r="A41" t="s">
        <v>146</v>
      </c>
      <c r="B41" t="s">
        <v>155</v>
      </c>
      <c r="C41">
        <f>SUMPRODUCT(F21:F30,D21:D30)</f>
        <v>9</v>
      </c>
      <c r="D41" t="s">
        <v>57</v>
      </c>
      <c r="E41">
        <v>20</v>
      </c>
    </row>
    <row r="42" spans="1:5" x14ac:dyDescent="0.2">
      <c r="A42" t="s">
        <v>147</v>
      </c>
      <c r="B42" t="s">
        <v>156</v>
      </c>
      <c r="C42">
        <f>SUMPRODUCT(G21:G30,D21:D30)</f>
        <v>12</v>
      </c>
      <c r="D42" t="s">
        <v>57</v>
      </c>
      <c r="E42">
        <v>30</v>
      </c>
    </row>
    <row r="43" spans="1:5" x14ac:dyDescent="0.2">
      <c r="B43" t="s">
        <v>157</v>
      </c>
      <c r="C43">
        <f>SUMPRODUCT(D21:D30,C21:C30)</f>
        <v>1.1300000000000001</v>
      </c>
      <c r="D43" t="s">
        <v>58</v>
      </c>
      <c r="E43">
        <v>0</v>
      </c>
    </row>
  </sheetData>
  <mergeCells count="2">
    <mergeCell ref="B3:T3"/>
    <mergeCell ref="B19:T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3B14-F421-464D-B1F9-DEB72203B598}">
  <dimension ref="A8:P29"/>
  <sheetViews>
    <sheetView tabSelected="1" topLeftCell="A4" workbookViewId="0">
      <selection activeCell="D23" sqref="D23"/>
    </sheetView>
  </sheetViews>
  <sheetFormatPr baseColWidth="10" defaultColWidth="8.83203125" defaultRowHeight="15" x14ac:dyDescent="0.2"/>
  <cols>
    <col min="1" max="1" width="20.33203125" customWidth="1"/>
    <col min="2" max="2" width="21" customWidth="1"/>
    <col min="3" max="3" width="8.83203125" hidden="1" customWidth="1"/>
    <col min="4" max="4" width="13.5" customWidth="1"/>
    <col min="5" max="5" width="14.6640625" customWidth="1"/>
    <col min="7" max="7" width="15.6640625" customWidth="1"/>
  </cols>
  <sheetData>
    <row r="8" spans="1:16" ht="16" thickBot="1" x14ac:dyDescent="0.25"/>
    <row r="9" spans="1:16" ht="87.75" customHeight="1" thickBot="1" x14ac:dyDescent="0.3">
      <c r="A9" s="75" t="s">
        <v>0</v>
      </c>
      <c r="B9" s="76"/>
      <c r="C9" s="76"/>
      <c r="D9" s="76"/>
      <c r="E9" s="76"/>
      <c r="F9" s="76"/>
      <c r="G9" s="76"/>
      <c r="H9" s="76"/>
      <c r="I9" s="76"/>
      <c r="J9" s="76"/>
      <c r="K9" s="76"/>
      <c r="L9" s="76"/>
      <c r="M9" s="76"/>
      <c r="N9" s="76"/>
      <c r="O9" s="76"/>
      <c r="P9" s="77"/>
    </row>
    <row r="13" spans="1:16" ht="30" x14ac:dyDescent="0.2">
      <c r="D13" s="2" t="s">
        <v>1</v>
      </c>
      <c r="E13" s="2" t="s">
        <v>2</v>
      </c>
      <c r="G13" t="s">
        <v>53</v>
      </c>
    </row>
    <row r="14" spans="1:16" x14ac:dyDescent="0.2">
      <c r="D14" s="3" t="s">
        <v>3</v>
      </c>
      <c r="E14" s="3">
        <v>47</v>
      </c>
      <c r="F14" s="10">
        <v>3</v>
      </c>
      <c r="G14" t="s">
        <v>117</v>
      </c>
      <c r="H14" t="s">
        <v>118</v>
      </c>
    </row>
    <row r="15" spans="1:16" x14ac:dyDescent="0.2">
      <c r="D15" s="3" t="s">
        <v>4</v>
      </c>
      <c r="E15" s="3">
        <v>43</v>
      </c>
      <c r="F15" s="10">
        <v>10</v>
      </c>
      <c r="G15" t="s">
        <v>119</v>
      </c>
      <c r="H15" t="s">
        <v>125</v>
      </c>
    </row>
    <row r="16" spans="1:16" x14ac:dyDescent="0.2">
      <c r="D16" s="3" t="s">
        <v>5</v>
      </c>
      <c r="E16" s="3">
        <v>45</v>
      </c>
      <c r="F16" s="10">
        <v>9</v>
      </c>
      <c r="G16" t="s">
        <v>120</v>
      </c>
      <c r="H16" t="s">
        <v>126</v>
      </c>
    </row>
    <row r="17" spans="1:8" x14ac:dyDescent="0.2">
      <c r="D17" s="3" t="s">
        <v>6</v>
      </c>
      <c r="E17" s="3">
        <v>49</v>
      </c>
      <c r="F17" s="10">
        <v>15</v>
      </c>
      <c r="G17" t="s">
        <v>121</v>
      </c>
      <c r="H17" t="s">
        <v>127</v>
      </c>
    </row>
    <row r="18" spans="1:8" x14ac:dyDescent="0.2">
      <c r="D18" s="3" t="s">
        <v>7</v>
      </c>
      <c r="E18" s="3">
        <v>44</v>
      </c>
      <c r="F18" s="10">
        <v>7</v>
      </c>
      <c r="G18" t="s">
        <v>122</v>
      </c>
      <c r="H18" t="s">
        <v>128</v>
      </c>
    </row>
    <row r="19" spans="1:8" x14ac:dyDescent="0.2">
      <c r="D19" s="3" t="s">
        <v>8</v>
      </c>
      <c r="E19" s="3">
        <v>51</v>
      </c>
      <c r="F19" s="10">
        <v>11</v>
      </c>
      <c r="G19" t="s">
        <v>123</v>
      </c>
      <c r="H19" t="s">
        <v>129</v>
      </c>
    </row>
    <row r="20" spans="1:8" x14ac:dyDescent="0.2">
      <c r="D20" s="3" t="s">
        <v>9</v>
      </c>
      <c r="E20" s="3">
        <v>53</v>
      </c>
      <c r="F20" s="10">
        <v>12</v>
      </c>
      <c r="G20" t="s">
        <v>124</v>
      </c>
      <c r="H20" t="s">
        <v>130</v>
      </c>
    </row>
    <row r="21" spans="1:8" x14ac:dyDescent="0.2">
      <c r="F21">
        <f>SUM(F14:F20)</f>
        <v>67</v>
      </c>
      <c r="G21" t="s">
        <v>131</v>
      </c>
    </row>
    <row r="22" spans="1:8" x14ac:dyDescent="0.2">
      <c r="D22" s="23" t="s">
        <v>56</v>
      </c>
      <c r="E22" t="s">
        <v>82</v>
      </c>
    </row>
    <row r="23" spans="1:8" ht="31" customHeight="1" x14ac:dyDescent="0.2">
      <c r="A23" t="s">
        <v>133</v>
      </c>
      <c r="B23" s="23" t="s">
        <v>132</v>
      </c>
      <c r="D23">
        <f>F14+F17+F18+F19+F20</f>
        <v>48</v>
      </c>
      <c r="E23" t="s">
        <v>58</v>
      </c>
      <c r="F23">
        <f>E14</f>
        <v>47</v>
      </c>
    </row>
    <row r="24" spans="1:8" x14ac:dyDescent="0.2">
      <c r="A24" t="s">
        <v>135</v>
      </c>
      <c r="B24" t="s">
        <v>134</v>
      </c>
      <c r="D24">
        <f>F14+F15+F18+F19+F20</f>
        <v>43</v>
      </c>
      <c r="E24" t="s">
        <v>58</v>
      </c>
      <c r="F24">
        <f t="shared" ref="F24:F29" si="0">E15</f>
        <v>43</v>
      </c>
    </row>
    <row r="25" spans="1:8" x14ac:dyDescent="0.2">
      <c r="A25" t="s">
        <v>136</v>
      </c>
      <c r="D25">
        <f>F14+F15+F16+F19+F20</f>
        <v>45</v>
      </c>
      <c r="E25" t="s">
        <v>58</v>
      </c>
      <c r="F25">
        <f t="shared" si="0"/>
        <v>45</v>
      </c>
    </row>
    <row r="26" spans="1:8" x14ac:dyDescent="0.2">
      <c r="A26" t="s">
        <v>137</v>
      </c>
      <c r="D26">
        <f>F14+F15+F16+F17+F20</f>
        <v>49</v>
      </c>
      <c r="E26" t="s">
        <v>58</v>
      </c>
      <c r="F26">
        <f t="shared" si="0"/>
        <v>49</v>
      </c>
    </row>
    <row r="27" spans="1:8" x14ac:dyDescent="0.2">
      <c r="A27" t="s">
        <v>137</v>
      </c>
      <c r="D27">
        <f>F14+F15+F16+F17+F18</f>
        <v>44</v>
      </c>
      <c r="E27" t="s">
        <v>58</v>
      </c>
      <c r="F27">
        <f t="shared" si="0"/>
        <v>44</v>
      </c>
    </row>
    <row r="28" spans="1:8" x14ac:dyDescent="0.2">
      <c r="A28" t="s">
        <v>139</v>
      </c>
      <c r="D28">
        <f>F15+F16+F17+F18+F19</f>
        <v>52</v>
      </c>
      <c r="E28" t="s">
        <v>58</v>
      </c>
      <c r="F28">
        <f t="shared" si="0"/>
        <v>51</v>
      </c>
    </row>
    <row r="29" spans="1:8" x14ac:dyDescent="0.2">
      <c r="A29" t="s">
        <v>138</v>
      </c>
      <c r="D29">
        <f>F16+F17+F18+F19+F20</f>
        <v>54</v>
      </c>
      <c r="E29" t="s">
        <v>58</v>
      </c>
      <c r="F29">
        <f t="shared" si="0"/>
        <v>53</v>
      </c>
    </row>
  </sheetData>
  <mergeCells count="1">
    <mergeCell ref="A9:P9"/>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BE8F-A557-4029-8F26-5D2154C0F309}">
  <dimension ref="A2:Q36"/>
  <sheetViews>
    <sheetView workbookViewId="0">
      <selection activeCell="B31" sqref="B31"/>
    </sheetView>
  </sheetViews>
  <sheetFormatPr baseColWidth="10" defaultColWidth="8.83203125" defaultRowHeight="15" x14ac:dyDescent="0.2"/>
  <cols>
    <col min="1" max="1" width="25.83203125" customWidth="1"/>
    <col min="2" max="2" width="12" customWidth="1"/>
    <col min="3" max="3" width="9.83203125" bestFit="1" customWidth="1"/>
    <col min="5" max="5" width="17" customWidth="1"/>
    <col min="6" max="6" width="12.6640625" customWidth="1"/>
    <col min="7" max="7" width="13.1640625" customWidth="1"/>
    <col min="8" max="8" width="17.6640625" customWidth="1"/>
  </cols>
  <sheetData>
    <row r="2" spans="3:17" ht="16" thickBot="1" x14ac:dyDescent="0.25"/>
    <row r="3" spans="3:17" ht="87" customHeight="1" thickBot="1" x14ac:dyDescent="0.25">
      <c r="E3" s="46"/>
      <c r="F3" s="47"/>
      <c r="G3" s="47"/>
      <c r="H3" s="47"/>
      <c r="I3" s="47"/>
      <c r="J3" s="47"/>
      <c r="K3" s="47"/>
      <c r="L3" s="47"/>
      <c r="M3" s="47"/>
      <c r="N3" s="47"/>
      <c r="O3" s="47"/>
      <c r="P3" s="47"/>
      <c r="Q3" s="48"/>
    </row>
    <row r="4" spans="3:17" ht="16" thickBot="1" x14ac:dyDescent="0.25"/>
    <row r="5" spans="3:17" x14ac:dyDescent="0.2">
      <c r="D5" s="49" t="s">
        <v>28</v>
      </c>
      <c r="E5" s="50"/>
      <c r="F5" s="51"/>
    </row>
    <row r="6" spans="3:17" x14ac:dyDescent="0.2">
      <c r="C6" s="1" t="s">
        <v>29</v>
      </c>
      <c r="D6" s="1" t="s">
        <v>30</v>
      </c>
      <c r="E6" s="1" t="s">
        <v>31</v>
      </c>
      <c r="F6" s="1" t="s">
        <v>32</v>
      </c>
      <c r="G6" s="15" t="s">
        <v>194</v>
      </c>
    </row>
    <row r="7" spans="3:17" x14ac:dyDescent="0.2">
      <c r="C7" s="1">
        <v>1</v>
      </c>
      <c r="D7" s="1">
        <v>130</v>
      </c>
      <c r="E7" s="1">
        <v>150</v>
      </c>
      <c r="F7" s="1">
        <v>90</v>
      </c>
      <c r="G7" s="15">
        <v>0</v>
      </c>
    </row>
    <row r="8" spans="3:17" x14ac:dyDescent="0.2">
      <c r="C8" s="1">
        <v>2</v>
      </c>
      <c r="D8" s="1">
        <v>275</v>
      </c>
      <c r="E8" s="1">
        <v>300</v>
      </c>
      <c r="F8" s="1">
        <v>100</v>
      </c>
      <c r="G8" s="15">
        <v>0</v>
      </c>
    </row>
    <row r="9" spans="3:17" x14ac:dyDescent="0.2">
      <c r="C9" s="1">
        <v>3</v>
      </c>
      <c r="D9" s="1">
        <v>180</v>
      </c>
      <c r="E9" s="1">
        <v>225</v>
      </c>
      <c r="F9" s="1">
        <v>140</v>
      </c>
      <c r="G9" s="15">
        <v>0</v>
      </c>
    </row>
    <row r="10" spans="3:17" x14ac:dyDescent="0.2">
      <c r="C10" s="1">
        <v>4</v>
      </c>
      <c r="D10" s="1">
        <v>200</v>
      </c>
      <c r="E10" s="1">
        <v>120</v>
      </c>
      <c r="F10" s="1">
        <v>160</v>
      </c>
      <c r="G10" s="15">
        <v>0</v>
      </c>
    </row>
    <row r="11" spans="3:17" x14ac:dyDescent="0.2">
      <c r="C11" t="s">
        <v>53</v>
      </c>
    </row>
    <row r="12" spans="3:17" x14ac:dyDescent="0.2">
      <c r="C12" s="35" t="s">
        <v>29</v>
      </c>
      <c r="D12" s="36" t="s">
        <v>30</v>
      </c>
      <c r="E12" s="36" t="s">
        <v>31</v>
      </c>
      <c r="F12" s="41" t="s">
        <v>32</v>
      </c>
      <c r="G12" s="39"/>
      <c r="H12" s="39"/>
    </row>
    <row r="13" spans="3:17" x14ac:dyDescent="0.2">
      <c r="C13" s="24">
        <v>1</v>
      </c>
      <c r="D13" s="25">
        <v>1</v>
      </c>
      <c r="E13" s="25">
        <v>0</v>
      </c>
      <c r="F13" s="42">
        <v>0</v>
      </c>
      <c r="G13" s="38">
        <f>SUM(D13:F13)</f>
        <v>1</v>
      </c>
      <c r="H13" s="39"/>
    </row>
    <row r="14" spans="3:17" x14ac:dyDescent="0.2">
      <c r="C14" s="24">
        <v>2</v>
      </c>
      <c r="D14" s="25">
        <v>0</v>
      </c>
      <c r="E14" s="25">
        <v>1</v>
      </c>
      <c r="F14" s="42">
        <v>0</v>
      </c>
      <c r="G14" s="38">
        <f t="shared" ref="G14:G16" si="0">SUM(D14:F14)</f>
        <v>1</v>
      </c>
      <c r="H14" s="39"/>
    </row>
    <row r="15" spans="3:17" x14ac:dyDescent="0.2">
      <c r="C15" s="24">
        <v>3</v>
      </c>
      <c r="D15" s="25">
        <v>0</v>
      </c>
      <c r="E15" s="25">
        <v>1</v>
      </c>
      <c r="F15" s="25">
        <v>0</v>
      </c>
      <c r="G15" s="38">
        <f t="shared" si="0"/>
        <v>1</v>
      </c>
    </row>
    <row r="16" spans="3:17" x14ac:dyDescent="0.2">
      <c r="C16" s="24">
        <v>4</v>
      </c>
      <c r="D16" s="25">
        <v>0</v>
      </c>
      <c r="E16" s="25">
        <v>0</v>
      </c>
      <c r="F16" s="25">
        <v>1</v>
      </c>
      <c r="G16" s="38">
        <f t="shared" si="0"/>
        <v>1</v>
      </c>
    </row>
    <row r="17" spans="1:9" x14ac:dyDescent="0.2">
      <c r="D17" s="45">
        <f>SUM(D13:D16)</f>
        <v>1</v>
      </c>
      <c r="E17" s="45">
        <f t="shared" ref="E17:F17" si="1">SUM(E13:E16)</f>
        <v>2</v>
      </c>
      <c r="F17" s="45">
        <f t="shared" si="1"/>
        <v>1</v>
      </c>
      <c r="G17" s="38"/>
      <c r="H17" s="38"/>
      <c r="I17" s="38"/>
    </row>
    <row r="18" spans="1:9" x14ac:dyDescent="0.2">
      <c r="A18" s="18" t="s">
        <v>193</v>
      </c>
      <c r="G18" s="38"/>
      <c r="H18" s="38"/>
      <c r="I18" s="38"/>
    </row>
    <row r="19" spans="1:9" x14ac:dyDescent="0.2">
      <c r="A19">
        <f>SUMPRODUCT(D7:F10, D13:F16)</f>
        <v>815</v>
      </c>
      <c r="G19" s="38"/>
      <c r="H19" s="38"/>
      <c r="I19" s="38"/>
    </row>
    <row r="20" spans="1:9" x14ac:dyDescent="0.2">
      <c r="G20" s="38"/>
      <c r="H20" s="38"/>
      <c r="I20" s="38"/>
    </row>
    <row r="21" spans="1:9" ht="21" customHeight="1" x14ac:dyDescent="0.2">
      <c r="A21" s="18" t="s">
        <v>82</v>
      </c>
      <c r="G21" s="38"/>
      <c r="H21" s="38"/>
      <c r="I21" s="38"/>
    </row>
    <row r="22" spans="1:9" ht="16" x14ac:dyDescent="0.2">
      <c r="A22" s="40" t="s">
        <v>195</v>
      </c>
      <c r="B22">
        <f>SUMPRODUCT(D13:F16)</f>
        <v>4</v>
      </c>
      <c r="C22" t="s">
        <v>58</v>
      </c>
      <c r="D22">
        <v>0</v>
      </c>
      <c r="G22" s="38"/>
      <c r="H22" s="38"/>
      <c r="I22" s="38"/>
    </row>
    <row r="23" spans="1:9" ht="16" x14ac:dyDescent="0.2">
      <c r="A23" s="40" t="s">
        <v>196</v>
      </c>
      <c r="B23">
        <f>SUM($D$13:$D$16)</f>
        <v>1</v>
      </c>
      <c r="C23" t="s">
        <v>58</v>
      </c>
      <c r="D23">
        <v>1</v>
      </c>
      <c r="G23" s="38"/>
      <c r="H23" s="38"/>
      <c r="I23" s="38"/>
    </row>
    <row r="24" spans="1:9" ht="16" x14ac:dyDescent="0.2">
      <c r="A24" s="40" t="s">
        <v>197</v>
      </c>
      <c r="B24">
        <f>SUM($E$13:$E$16)</f>
        <v>2</v>
      </c>
      <c r="C24" t="s">
        <v>58</v>
      </c>
      <c r="D24">
        <v>1</v>
      </c>
      <c r="G24" s="38"/>
      <c r="H24" s="38"/>
      <c r="I24" s="38"/>
    </row>
    <row r="25" spans="1:9" ht="16" x14ac:dyDescent="0.2">
      <c r="A25" s="40" t="s">
        <v>198</v>
      </c>
      <c r="B25">
        <f>SUM($F$13:$F$16)</f>
        <v>1</v>
      </c>
      <c r="C25" t="s">
        <v>58</v>
      </c>
      <c r="D25">
        <v>1</v>
      </c>
      <c r="G25" s="38"/>
      <c r="H25" s="38"/>
      <c r="I25" s="38"/>
    </row>
    <row r="26" spans="1:9" x14ac:dyDescent="0.2">
      <c r="A26" s="40"/>
      <c r="G26" s="38"/>
      <c r="H26" s="38"/>
      <c r="I26" s="38"/>
    </row>
    <row r="27" spans="1:9" ht="16" x14ac:dyDescent="0.2">
      <c r="A27" s="43" t="s">
        <v>200</v>
      </c>
      <c r="B27">
        <f>SUM($D$13:$D$16)</f>
        <v>1</v>
      </c>
      <c r="C27" t="s">
        <v>57</v>
      </c>
      <c r="D27">
        <v>2</v>
      </c>
      <c r="G27" s="39"/>
      <c r="H27" s="39"/>
      <c r="I27" s="39"/>
    </row>
    <row r="28" spans="1:9" ht="16" x14ac:dyDescent="0.2">
      <c r="A28" s="43" t="s">
        <v>201</v>
      </c>
      <c r="B28">
        <f>SUM($E$13:$E$16)</f>
        <v>2</v>
      </c>
      <c r="C28" t="s">
        <v>57</v>
      </c>
      <c r="D28">
        <v>2</v>
      </c>
    </row>
    <row r="29" spans="1:9" ht="16" x14ac:dyDescent="0.2">
      <c r="A29" s="43" t="s">
        <v>202</v>
      </c>
      <c r="B29">
        <f>SUM($F$13:$F$16)</f>
        <v>1</v>
      </c>
      <c r="C29" t="s">
        <v>57</v>
      </c>
      <c r="D29">
        <v>2</v>
      </c>
    </row>
    <row r="30" spans="1:9" x14ac:dyDescent="0.2">
      <c r="A30" s="43"/>
      <c r="B30" s="44"/>
      <c r="C30" s="44"/>
      <c r="D30" s="44"/>
    </row>
    <row r="31" spans="1:9" ht="16" x14ac:dyDescent="0.2">
      <c r="A31" s="40" t="s">
        <v>199</v>
      </c>
      <c r="B31" s="44">
        <f>SUM($D$13:$F$13)</f>
        <v>1</v>
      </c>
      <c r="C31" s="44" t="s">
        <v>58</v>
      </c>
      <c r="D31" s="44">
        <v>1</v>
      </c>
    </row>
    <row r="32" spans="1:9" ht="16" x14ac:dyDescent="0.2">
      <c r="A32" s="40" t="s">
        <v>199</v>
      </c>
      <c r="B32" s="44">
        <f>SUM($D$14:$F$14)</f>
        <v>1</v>
      </c>
      <c r="C32" s="44" t="s">
        <v>58</v>
      </c>
      <c r="D32" s="44">
        <v>1</v>
      </c>
    </row>
    <row r="33" spans="1:8" ht="16" x14ac:dyDescent="0.2">
      <c r="A33" s="40" t="s">
        <v>199</v>
      </c>
      <c r="B33" s="44">
        <f>SUM($D$15:$F$15)</f>
        <v>1</v>
      </c>
      <c r="C33" s="44" t="s">
        <v>58</v>
      </c>
      <c r="D33" s="44">
        <v>1</v>
      </c>
      <c r="H33" s="37"/>
    </row>
    <row r="34" spans="1:8" ht="16" x14ac:dyDescent="0.2">
      <c r="A34" s="40" t="s">
        <v>199</v>
      </c>
      <c r="B34" s="44">
        <f>SUM($D$16:$F$16)</f>
        <v>1</v>
      </c>
      <c r="C34" s="44" t="s">
        <v>58</v>
      </c>
      <c r="D34" s="44">
        <v>1</v>
      </c>
    </row>
    <row r="35" spans="1:8" x14ac:dyDescent="0.2">
      <c r="A35" s="40"/>
    </row>
    <row r="36" spans="1:8" x14ac:dyDescent="0.2">
      <c r="A36" s="40"/>
    </row>
  </sheetData>
  <mergeCells count="2">
    <mergeCell ref="E3:Q3"/>
    <mergeCell ref="D5:F5"/>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Sensitivity Report 1</vt:lpstr>
      <vt:lpstr>Blend - Product Mix Problem</vt:lpstr>
      <vt:lpstr>Sensitivity Report 2</vt:lpstr>
      <vt:lpstr>Blend - Ingredients Problem HW</vt:lpstr>
      <vt:lpstr>Employee Scheduling</vt:lpstr>
      <vt:lpstr>Employee Assignment - HW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Vemprala, Naga</dc:creator>
  <cp:lastModifiedBy>Cheplick, Marissa</cp:lastModifiedBy>
  <dcterms:created xsi:type="dcterms:W3CDTF">2025-01-21T21:52:40Z</dcterms:created>
  <dcterms:modified xsi:type="dcterms:W3CDTF">2026-04-24T02:34:07Z</dcterms:modified>
</cp:coreProperties>
</file>